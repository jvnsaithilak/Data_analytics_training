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5.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Ex1.xml" ContentType="application/vnd.ms-office.chartex+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6.xml" ContentType="application/vnd.openxmlformats-officedocument.drawing+xml"/>
  <Override PartName="/xl/slicers/slicer3.xml" ContentType="application/vnd.ms-excel.slicer+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C:\Users\MITS\Desktop\"/>
    </mc:Choice>
  </mc:AlternateContent>
  <xr:revisionPtr revIDLastSave="0" documentId="8_{66CDA200-40B6-47D6-8D76-81431EDDC3DE}" xr6:coauthVersionLast="47" xr6:coauthVersionMax="47" xr10:uidLastSave="{00000000-0000-0000-0000-000000000000}"/>
  <bookViews>
    <workbookView xWindow="-120" yWindow="-120" windowWidth="29040" windowHeight="15720" activeTab="6" xr2:uid="{6698907F-365D-4E44-9133-A17238815E64}"/>
  </bookViews>
  <sheets>
    <sheet name="Sheet1" sheetId="2" r:id="rId1"/>
    <sheet name="Sheet2" sheetId="3" r:id="rId2"/>
    <sheet name="Sheet3" sheetId="4" r:id="rId3"/>
    <sheet name="Sheet4" sheetId="5" r:id="rId4"/>
    <sheet name="Sheet6" sheetId="7" r:id="rId5"/>
    <sheet name="ecommerce_sales_data" sheetId="1" r:id="rId6"/>
    <sheet name="Sheet5" sheetId="6" r:id="rId7"/>
  </sheets>
  <definedNames>
    <definedName name="_xlnm._FilterDatabase" localSheetId="5" hidden="1">ecommerce_sales_data!$D$1:$D$31</definedName>
    <definedName name="_xlchart.v1.0" hidden="1">ecommerce_sales_data!$A$2:$M$31</definedName>
    <definedName name="_xlchart.v1.1" hidden="1">ecommerce_sales_data!$N$1</definedName>
    <definedName name="_xlchart.v1.10" hidden="1">ecommerce_sales_data!$O$1</definedName>
    <definedName name="_xlchart.v1.11" hidden="1">ecommerce_sales_data!$O$2:$O$31</definedName>
    <definedName name="_xlchart.v1.12" hidden="1">ecommerce_sales_data!$P$1</definedName>
    <definedName name="_xlchart.v1.13" hidden="1">ecommerce_sales_data!$P$2:$P$31</definedName>
    <definedName name="_xlchart.v1.14" hidden="1">ecommerce_sales_data!$A$2:$M$31</definedName>
    <definedName name="_xlchart.v1.15" hidden="1">ecommerce_sales_data!$N$1</definedName>
    <definedName name="_xlchart.v1.16" hidden="1">ecommerce_sales_data!$N$2:$N$31</definedName>
    <definedName name="_xlchart.v1.17" hidden="1">ecommerce_sales_data!$O$1</definedName>
    <definedName name="_xlchart.v1.18" hidden="1">ecommerce_sales_data!$O$2:$O$31</definedName>
    <definedName name="_xlchart.v1.19" hidden="1">ecommerce_sales_data!$P$1</definedName>
    <definedName name="_xlchart.v1.2" hidden="1">ecommerce_sales_data!$N$2:$N$31</definedName>
    <definedName name="_xlchart.v1.20" hidden="1">ecommerce_sales_data!$P$2:$P$31</definedName>
    <definedName name="_xlchart.v1.3" hidden="1">ecommerce_sales_data!$O$1</definedName>
    <definedName name="_xlchart.v1.4" hidden="1">ecommerce_sales_data!$O$2:$O$31</definedName>
    <definedName name="_xlchart.v1.5" hidden="1">ecommerce_sales_data!$P$1</definedName>
    <definedName name="_xlchart.v1.6" hidden="1">ecommerce_sales_data!$P$2:$P$31</definedName>
    <definedName name="_xlchart.v1.7" hidden="1">ecommerce_sales_data!$A$2:$M$31</definedName>
    <definedName name="_xlchart.v1.8" hidden="1">ecommerce_sales_data!$N$1</definedName>
    <definedName name="_xlchart.v1.9" hidden="1">ecommerce_sales_data!$N$2:$N$31</definedName>
    <definedName name="Slicer_CustomerGender">#N/A</definedName>
    <definedName name="Slicer_PaymentMethod">#N/A</definedName>
    <definedName name="Slicer_ProductCategory">#N/A</definedName>
    <definedName name="Slicer_ProductCategory1">#N/A</definedName>
  </definedNames>
  <calcPr calcId="191029"/>
  <pivotCaches>
    <pivotCache cacheId="0" r:id="rId8"/>
    <pivotCache cacheId="1" r:id="rId9"/>
    <pivotCache cacheId="2" r:id="rId10"/>
    <pivotCache cacheId="3" r:id="rId11"/>
    <pivotCache cacheId="4" r:id="rId12"/>
    <pivotCache cacheId="5" r:id="rId13"/>
    <pivotCache cacheId="41" r:id="rId14"/>
  </pivotCaches>
  <extLst>
    <ext xmlns:x14="http://schemas.microsoft.com/office/spreadsheetml/2009/9/main" uri="{BBE1A952-AA13-448e-AADC-164F8A28A991}">
      <x14:slicerCaches>
        <x14:slicerCache r:id="rId15"/>
        <x14:slicerCache r:id="rId16"/>
        <x14:slicerCache r:id="rId17"/>
        <x14:slicerCache r:id="rId1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37" i="1" l="1"/>
  <c r="G36" i="1"/>
  <c r="G35" i="1"/>
  <c r="G34" i="1"/>
</calcChain>
</file>

<file path=xl/sharedStrings.xml><?xml version="1.0" encoding="utf-8"?>
<sst xmlns="http://schemas.openxmlformats.org/spreadsheetml/2006/main" count="330" uniqueCount="104">
  <si>
    <t>TransactionID</t>
  </si>
  <si>
    <t>CustomerID</t>
  </si>
  <si>
    <t>ProductID</t>
  </si>
  <si>
    <t>ProductCategory</t>
  </si>
  <si>
    <t>PaymentMethod</t>
  </si>
  <si>
    <t>Price</t>
  </si>
  <si>
    <t>Discount</t>
  </si>
  <si>
    <t>TransactionDate</t>
  </si>
  <si>
    <t>Column1</t>
  </si>
  <si>
    <t>CustomerLocation</t>
  </si>
  <si>
    <t>CustomerAge</t>
  </si>
  <si>
    <t>CustomerGender</t>
  </si>
  <si>
    <t>CustomerIncomeGroup</t>
  </si>
  <si>
    <t>CustomerLoyaltyScore</t>
  </si>
  <si>
    <t>Quantity</t>
  </si>
  <si>
    <t>encode</t>
  </si>
  <si>
    <t>Clothing</t>
  </si>
  <si>
    <t>Cash on Delivery</t>
  </si>
  <si>
    <t>New Juan</t>
  </si>
  <si>
    <t>Female</t>
  </si>
  <si>
    <t>Medium</t>
  </si>
  <si>
    <t>Beauty</t>
  </si>
  <si>
    <t>Debit Card</t>
  </si>
  <si>
    <t>South Julie</t>
  </si>
  <si>
    <t>Other</t>
  </si>
  <si>
    <t>High</t>
  </si>
  <si>
    <t>Toys</t>
  </si>
  <si>
    <t>West Carrieview</t>
  </si>
  <si>
    <t>Bank Transfer</t>
  </si>
  <si>
    <t>Christianberg</t>
  </si>
  <si>
    <t>Low</t>
  </si>
  <si>
    <t>Electronics</t>
  </si>
  <si>
    <t>South Williamhaven</t>
  </si>
  <si>
    <t>Books</t>
  </si>
  <si>
    <t>Stephenfort</t>
  </si>
  <si>
    <t>Male</t>
  </si>
  <si>
    <t>Credit Card</t>
  </si>
  <si>
    <t>North Terristad</t>
  </si>
  <si>
    <t>Sports</t>
  </si>
  <si>
    <t>Pachecotown</t>
  </si>
  <si>
    <t>Port Philipberg</t>
  </si>
  <si>
    <t>Jenniferfurt</t>
  </si>
  <si>
    <t>Lake Carolyn</t>
  </si>
  <si>
    <t>Amandaborough</t>
  </si>
  <si>
    <t>South Maria</t>
  </si>
  <si>
    <t>Home &amp; Kitchen</t>
  </si>
  <si>
    <t>West Marissa</t>
  </si>
  <si>
    <t>Austinburgh</t>
  </si>
  <si>
    <t>Lake Jesse</t>
  </si>
  <si>
    <t>Marioburgh</t>
  </si>
  <si>
    <t>PayPal</t>
  </si>
  <si>
    <t>Ryanhaven</t>
  </si>
  <si>
    <t>Dickersonmouth</t>
  </si>
  <si>
    <t>Annaborough</t>
  </si>
  <si>
    <t>Ramirezburgh</t>
  </si>
  <si>
    <t>Sextonberg</t>
  </si>
  <si>
    <t>Beasleyshire</t>
  </si>
  <si>
    <t>Lake Brittneyland</t>
  </si>
  <si>
    <t>South John</t>
  </si>
  <si>
    <t>New Devin</t>
  </si>
  <si>
    <t>Lake Denise</t>
  </si>
  <si>
    <t>South Susan</t>
  </si>
  <si>
    <t>Johnsonchester</t>
  </si>
  <si>
    <t>Martinberg</t>
  </si>
  <si>
    <t>Anova: Two-Factor Without Replication</t>
  </si>
  <si>
    <t>SUMMARY</t>
  </si>
  <si>
    <t>Count</t>
  </si>
  <si>
    <t>Sum</t>
  </si>
  <si>
    <t>Average</t>
  </si>
  <si>
    <t>Variance</t>
  </si>
  <si>
    <t>books</t>
  </si>
  <si>
    <t>Anova: Single Factor</t>
  </si>
  <si>
    <t>Groups</t>
  </si>
  <si>
    <t>ANOVA</t>
  </si>
  <si>
    <t>Source of Variation</t>
  </si>
  <si>
    <t>SS</t>
  </si>
  <si>
    <t>df</t>
  </si>
  <si>
    <t>MS</t>
  </si>
  <si>
    <t>F</t>
  </si>
  <si>
    <t>P-value</t>
  </si>
  <si>
    <t>F crit</t>
  </si>
  <si>
    <t>Between Groups</t>
  </si>
  <si>
    <t>Within Groups</t>
  </si>
  <si>
    <t>Total</t>
  </si>
  <si>
    <t>Rows</t>
  </si>
  <si>
    <t>Columns</t>
  </si>
  <si>
    <t>Error</t>
  </si>
  <si>
    <t>product</t>
  </si>
  <si>
    <t>Anova: Two-Factor With Replication</t>
  </si>
  <si>
    <t>Sample</t>
  </si>
  <si>
    <t>Interaction</t>
  </si>
  <si>
    <t>Within</t>
  </si>
  <si>
    <t>north</t>
  </si>
  <si>
    <t>south</t>
  </si>
  <si>
    <t xml:space="preserve">product </t>
  </si>
  <si>
    <t>clothing</t>
  </si>
  <si>
    <t>Row Labels</t>
  </si>
  <si>
    <t>Grand Total</t>
  </si>
  <si>
    <t>Column Labels</t>
  </si>
  <si>
    <t>Sum of Price</t>
  </si>
  <si>
    <t>Sum of Discount</t>
  </si>
  <si>
    <t>Sum of CustomerID</t>
  </si>
  <si>
    <t>Sum of ProductID</t>
  </si>
  <si>
    <t>Sum of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</si>
</sst>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i/>
      <sz val="10"/>
      <color theme="1"/>
      <name val="Calibri"/>
      <family val="2"/>
      <scheme val="minor"/>
    </font>
    <font>
      <i/>
      <sz val="11"/>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59999389629810485"/>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indexed="18"/>
      </bottom>
      <diagonal/>
    </border>
    <border>
      <left/>
      <right/>
      <top/>
      <bottom style="medium">
        <color indexed="64"/>
      </bottom>
      <diagonal/>
    </border>
    <border>
      <left/>
      <right/>
      <top style="medium">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22" fontId="0" fillId="0" borderId="0" xfId="0" applyNumberFormat="1"/>
    <xf numFmtId="2" fontId="0" fillId="0" borderId="0" xfId="0" applyNumberFormat="1"/>
    <xf numFmtId="0" fontId="18" fillId="0" borderId="10" xfId="0" applyFont="1" applyBorder="1" applyAlignment="1">
      <alignment horizontal="right"/>
    </xf>
    <xf numFmtId="0" fontId="0" fillId="0" borderId="11" xfId="0" applyBorder="1"/>
    <xf numFmtId="0" fontId="19" fillId="0" borderId="12" xfId="0" applyFont="1" applyBorder="1" applyAlignment="1">
      <alignment horizontal="center"/>
    </xf>
    <xf numFmtId="0" fontId="0" fillId="0" borderId="0" xfId="0" pivotButton="1"/>
    <xf numFmtId="0" fontId="0" fillId="0" borderId="0" xfId="0" applyAlignment="1">
      <alignment horizontal="left"/>
    </xf>
    <xf numFmtId="0" fontId="0" fillId="33" borderId="0" xfId="0" applyFill="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
    <dxf>
      <numFmt numFmtId="27" formatCode="dd/mm/yyyy\ hh:mm"/>
    </dxf>
    <dxf>
      <numFmt numFmtId="2" formatCode="0.00"/>
    </dxf>
    <dxf>
      <numFmt numFmtId="2" formatCode="0.00"/>
    </dxf>
    <dxf>
      <numFmt numFmtId="2" formatCode="0.00"/>
    </dxf>
    <dxf>
      <numFmt numFmtId="2"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pivotCacheDefinition" Target="pivotCache/pivotCacheDefinition6.xml"/><Relationship Id="rId18" Type="http://schemas.microsoft.com/office/2007/relationships/slicerCache" Target="slicerCaches/slicerCache4.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pivotCacheDefinition" Target="pivotCache/pivotCacheDefinition5.xml"/><Relationship Id="rId17" Type="http://schemas.microsoft.com/office/2007/relationships/slicerCache" Target="slicerCaches/slicerCache3.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pivotCacheDefinition" Target="pivotCache/pivotCacheDefinition3.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[ecommerce_sales_data(dashboard).xlsx]Sheet2!PivotTable5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cat>
            <c:strRef>
              <c:f>Sheet2!$A$4:$A$7</c:f>
              <c:strCache>
                <c:ptCount val="3"/>
                <c:pt idx="0">
                  <c:v>Female</c:v>
                </c:pt>
                <c:pt idx="1">
                  <c:v>Male</c:v>
                </c:pt>
                <c:pt idx="2">
                  <c:v>Other</c:v>
                </c:pt>
              </c:strCache>
            </c:strRef>
          </c:cat>
          <c:val>
            <c:numRef>
              <c:f>Sheet2!$B$4:$B$7</c:f>
              <c:numCache>
                <c:formatCode>General</c:formatCode>
                <c:ptCount val="3"/>
                <c:pt idx="0">
                  <c:v>1.22</c:v>
                </c:pt>
                <c:pt idx="1">
                  <c:v>1.2200000000000002</c:v>
                </c:pt>
                <c:pt idx="2">
                  <c:v>1.9200000000000002</c:v>
                </c:pt>
              </c:numCache>
            </c:numRef>
          </c:val>
          <c:extLst>
            <c:ext xmlns:c16="http://schemas.microsoft.com/office/drawing/2014/chart" uri="{C3380CC4-5D6E-409C-BE32-E72D297353CC}">
              <c16:uniqueId val="{00000000-DF5B-408D-BED7-C06001E1495C}"/>
            </c:ext>
          </c:extLst>
        </c:ser>
        <c:dLbls>
          <c:showLegendKey val="0"/>
          <c:showVal val="0"/>
          <c:showCatName val="0"/>
          <c:showSerName val="0"/>
          <c:showPercent val="0"/>
          <c:showBubbleSize val="0"/>
        </c:dLbls>
        <c:gapWidth val="219"/>
        <c:overlap val="-27"/>
        <c:axId val="1773037760"/>
        <c:axId val="1773038240"/>
      </c:barChart>
      <c:catAx>
        <c:axId val="1773037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3038240"/>
        <c:crosses val="autoZero"/>
        <c:auto val="1"/>
        <c:lblAlgn val="ctr"/>
        <c:lblOffset val="100"/>
        <c:noMultiLvlLbl val="0"/>
      </c:catAx>
      <c:valAx>
        <c:axId val="17730382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3037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[ecommerce_sales_data(dashboard).xlsx]Sheet3!PivotTable7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Total</c:v>
                </c:pt>
              </c:strCache>
            </c:strRef>
          </c:tx>
          <c:spPr>
            <a:solidFill>
              <a:schemeClr val="accent1"/>
            </a:solidFill>
            <a:ln>
              <a:noFill/>
            </a:ln>
            <a:effectLst/>
          </c:spPr>
          <c:invertIfNegative val="0"/>
          <c:cat>
            <c:strRef>
              <c:f>Sheet3!$A$4:$A$7</c:f>
              <c:strCache>
                <c:ptCount val="3"/>
                <c:pt idx="0">
                  <c:v>Female</c:v>
                </c:pt>
                <c:pt idx="1">
                  <c:v>Male</c:v>
                </c:pt>
                <c:pt idx="2">
                  <c:v>Other</c:v>
                </c:pt>
              </c:strCache>
            </c:strRef>
          </c:cat>
          <c:val>
            <c:numRef>
              <c:f>Sheet3!$B$4:$B$7</c:f>
              <c:numCache>
                <c:formatCode>General</c:formatCode>
                <c:ptCount val="3"/>
                <c:pt idx="0">
                  <c:v>4047.6</c:v>
                </c:pt>
                <c:pt idx="1">
                  <c:v>3946.06</c:v>
                </c:pt>
                <c:pt idx="2">
                  <c:v>5121.9100000000008</c:v>
                </c:pt>
              </c:numCache>
            </c:numRef>
          </c:val>
          <c:extLst>
            <c:ext xmlns:c16="http://schemas.microsoft.com/office/drawing/2014/chart" uri="{C3380CC4-5D6E-409C-BE32-E72D297353CC}">
              <c16:uniqueId val="{00000000-EA3C-45BF-8698-F7858EB011AA}"/>
            </c:ext>
          </c:extLst>
        </c:ser>
        <c:dLbls>
          <c:showLegendKey val="0"/>
          <c:showVal val="0"/>
          <c:showCatName val="0"/>
          <c:showSerName val="0"/>
          <c:showPercent val="0"/>
          <c:showBubbleSize val="0"/>
        </c:dLbls>
        <c:gapWidth val="219"/>
        <c:overlap val="-27"/>
        <c:axId val="1773031040"/>
        <c:axId val="1773020960"/>
      </c:barChart>
      <c:catAx>
        <c:axId val="1773031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3020960"/>
        <c:crosses val="autoZero"/>
        <c:auto val="1"/>
        <c:lblAlgn val="ctr"/>
        <c:lblOffset val="100"/>
        <c:noMultiLvlLbl val="0"/>
      </c:catAx>
      <c:valAx>
        <c:axId val="17730209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30310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[ecommerce_sales_data(dashboard).xlsx]Sheet4!PivotTable9</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Sum of CustomerID</c:v>
                </c:pt>
              </c:strCache>
            </c:strRef>
          </c:tx>
          <c:spPr>
            <a:solidFill>
              <a:schemeClr val="accent1"/>
            </a:solidFill>
            <a:ln>
              <a:noFill/>
            </a:ln>
            <a:effectLst/>
          </c:spPr>
          <c:invertIfNegative val="0"/>
          <c:cat>
            <c:strRef>
              <c:f>Sheet4!$A$4:$A$11</c:f>
              <c:strCache>
                <c:ptCount val="7"/>
                <c:pt idx="0">
                  <c:v>Beauty</c:v>
                </c:pt>
                <c:pt idx="1">
                  <c:v>Books</c:v>
                </c:pt>
                <c:pt idx="2">
                  <c:v>Clothing</c:v>
                </c:pt>
                <c:pt idx="3">
                  <c:v>Electronics</c:v>
                </c:pt>
                <c:pt idx="4">
                  <c:v>Home &amp; Kitchen</c:v>
                </c:pt>
                <c:pt idx="5">
                  <c:v>Sports</c:v>
                </c:pt>
                <c:pt idx="6">
                  <c:v>Toys</c:v>
                </c:pt>
              </c:strCache>
            </c:strRef>
          </c:cat>
          <c:val>
            <c:numRef>
              <c:f>Sheet4!$B$4:$B$11</c:f>
              <c:numCache>
                <c:formatCode>General</c:formatCode>
                <c:ptCount val="7"/>
                <c:pt idx="0">
                  <c:v>22595</c:v>
                </c:pt>
                <c:pt idx="1">
                  <c:v>19398</c:v>
                </c:pt>
                <c:pt idx="2">
                  <c:v>13139</c:v>
                </c:pt>
                <c:pt idx="3">
                  <c:v>32970</c:v>
                </c:pt>
                <c:pt idx="4">
                  <c:v>7167</c:v>
                </c:pt>
                <c:pt idx="5">
                  <c:v>14947</c:v>
                </c:pt>
                <c:pt idx="6">
                  <c:v>47877</c:v>
                </c:pt>
              </c:numCache>
            </c:numRef>
          </c:val>
          <c:extLst>
            <c:ext xmlns:c16="http://schemas.microsoft.com/office/drawing/2014/chart" uri="{C3380CC4-5D6E-409C-BE32-E72D297353CC}">
              <c16:uniqueId val="{00000000-BE19-487A-8722-24239E752A38}"/>
            </c:ext>
          </c:extLst>
        </c:ser>
        <c:ser>
          <c:idx val="1"/>
          <c:order val="1"/>
          <c:tx>
            <c:strRef>
              <c:f>Sheet4!$C$3</c:f>
              <c:strCache>
                <c:ptCount val="1"/>
                <c:pt idx="0">
                  <c:v>Sum of ProductID</c:v>
                </c:pt>
              </c:strCache>
            </c:strRef>
          </c:tx>
          <c:spPr>
            <a:solidFill>
              <a:schemeClr val="accent2"/>
            </a:solidFill>
            <a:ln>
              <a:noFill/>
            </a:ln>
            <a:effectLst/>
          </c:spPr>
          <c:invertIfNegative val="0"/>
          <c:cat>
            <c:strRef>
              <c:f>Sheet4!$A$4:$A$11</c:f>
              <c:strCache>
                <c:ptCount val="7"/>
                <c:pt idx="0">
                  <c:v>Beauty</c:v>
                </c:pt>
                <c:pt idx="1">
                  <c:v>Books</c:v>
                </c:pt>
                <c:pt idx="2">
                  <c:v>Clothing</c:v>
                </c:pt>
                <c:pt idx="3">
                  <c:v>Electronics</c:v>
                </c:pt>
                <c:pt idx="4">
                  <c:v>Home &amp; Kitchen</c:v>
                </c:pt>
                <c:pt idx="5">
                  <c:v>Sports</c:v>
                </c:pt>
                <c:pt idx="6">
                  <c:v>Toys</c:v>
                </c:pt>
              </c:strCache>
            </c:strRef>
          </c:cat>
          <c:val>
            <c:numRef>
              <c:f>Sheet4!$C$4:$C$11</c:f>
              <c:numCache>
                <c:formatCode>General</c:formatCode>
                <c:ptCount val="7"/>
                <c:pt idx="0">
                  <c:v>3326</c:v>
                </c:pt>
                <c:pt idx="1">
                  <c:v>1931</c:v>
                </c:pt>
                <c:pt idx="2">
                  <c:v>1424</c:v>
                </c:pt>
                <c:pt idx="3">
                  <c:v>2574</c:v>
                </c:pt>
                <c:pt idx="4">
                  <c:v>767</c:v>
                </c:pt>
                <c:pt idx="5">
                  <c:v>2570</c:v>
                </c:pt>
                <c:pt idx="6">
                  <c:v>2827</c:v>
                </c:pt>
              </c:numCache>
            </c:numRef>
          </c:val>
          <c:extLst>
            <c:ext xmlns:c16="http://schemas.microsoft.com/office/drawing/2014/chart" uri="{C3380CC4-5D6E-409C-BE32-E72D297353CC}">
              <c16:uniqueId val="{00000001-BE19-487A-8722-24239E752A38}"/>
            </c:ext>
          </c:extLst>
        </c:ser>
        <c:ser>
          <c:idx val="2"/>
          <c:order val="2"/>
          <c:tx>
            <c:strRef>
              <c:f>Sheet4!$D$3</c:f>
              <c:strCache>
                <c:ptCount val="1"/>
                <c:pt idx="0">
                  <c:v>Sum of Quantity</c:v>
                </c:pt>
              </c:strCache>
            </c:strRef>
          </c:tx>
          <c:spPr>
            <a:solidFill>
              <a:schemeClr val="accent3"/>
            </a:solidFill>
            <a:ln>
              <a:noFill/>
            </a:ln>
            <a:effectLst/>
          </c:spPr>
          <c:invertIfNegative val="0"/>
          <c:cat>
            <c:strRef>
              <c:f>Sheet4!$A$4:$A$11</c:f>
              <c:strCache>
                <c:ptCount val="7"/>
                <c:pt idx="0">
                  <c:v>Beauty</c:v>
                </c:pt>
                <c:pt idx="1">
                  <c:v>Books</c:v>
                </c:pt>
                <c:pt idx="2">
                  <c:v>Clothing</c:v>
                </c:pt>
                <c:pt idx="3">
                  <c:v>Electronics</c:v>
                </c:pt>
                <c:pt idx="4">
                  <c:v>Home &amp; Kitchen</c:v>
                </c:pt>
                <c:pt idx="5">
                  <c:v>Sports</c:v>
                </c:pt>
                <c:pt idx="6">
                  <c:v>Toys</c:v>
                </c:pt>
              </c:strCache>
            </c:strRef>
          </c:cat>
          <c:val>
            <c:numRef>
              <c:f>Sheet4!$D$4:$D$11</c:f>
              <c:numCache>
                <c:formatCode>General</c:formatCode>
                <c:ptCount val="7"/>
                <c:pt idx="0">
                  <c:v>14</c:v>
                </c:pt>
                <c:pt idx="1">
                  <c:v>11</c:v>
                </c:pt>
                <c:pt idx="2">
                  <c:v>6</c:v>
                </c:pt>
                <c:pt idx="3">
                  <c:v>17</c:v>
                </c:pt>
                <c:pt idx="4">
                  <c:v>4</c:v>
                </c:pt>
                <c:pt idx="5">
                  <c:v>7</c:v>
                </c:pt>
                <c:pt idx="6">
                  <c:v>19</c:v>
                </c:pt>
              </c:numCache>
            </c:numRef>
          </c:val>
          <c:extLst>
            <c:ext xmlns:c16="http://schemas.microsoft.com/office/drawing/2014/chart" uri="{C3380CC4-5D6E-409C-BE32-E72D297353CC}">
              <c16:uniqueId val="{00000002-BE19-487A-8722-24239E752A38}"/>
            </c:ext>
          </c:extLst>
        </c:ser>
        <c:dLbls>
          <c:showLegendKey val="0"/>
          <c:showVal val="0"/>
          <c:showCatName val="0"/>
          <c:showSerName val="0"/>
          <c:showPercent val="0"/>
          <c:showBubbleSize val="0"/>
        </c:dLbls>
        <c:gapWidth val="219"/>
        <c:overlap val="-27"/>
        <c:axId val="1773040160"/>
        <c:axId val="1773024320"/>
      </c:barChart>
      <c:catAx>
        <c:axId val="1773040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3024320"/>
        <c:crosses val="autoZero"/>
        <c:auto val="1"/>
        <c:lblAlgn val="ctr"/>
        <c:lblOffset val="100"/>
        <c:noMultiLvlLbl val="0"/>
      </c:catAx>
      <c:valAx>
        <c:axId val="17730243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3040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[ecommerce_sales_data(dashboard).xlsx]Sheet6!PivotTable29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Sum of Price by PaymentMethod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Sheet6!$B$3</c:f>
              <c:strCache>
                <c:ptCount val="1"/>
                <c:pt idx="0">
                  <c:v>Total</c:v>
                </c:pt>
              </c:strCache>
            </c:strRef>
          </c:tx>
          <c:spPr>
            <a:solidFill>
              <a:schemeClr val="accent1"/>
            </a:solidFill>
            <a:ln>
              <a:noFill/>
            </a:ln>
            <a:effectLst/>
          </c:spPr>
          <c:invertIfNegative val="0"/>
          <c:cat>
            <c:strRef>
              <c:f>Sheet6!$A$4:$A$8</c:f>
              <c:strCache>
                <c:ptCount val="5"/>
                <c:pt idx="0">
                  <c:v>Bank Transfer</c:v>
                </c:pt>
                <c:pt idx="1">
                  <c:v>Cash on Delivery</c:v>
                </c:pt>
                <c:pt idx="2">
                  <c:v>Credit Card</c:v>
                </c:pt>
                <c:pt idx="3">
                  <c:v>Debit Card</c:v>
                </c:pt>
                <c:pt idx="4">
                  <c:v>PayPal</c:v>
                </c:pt>
              </c:strCache>
            </c:strRef>
          </c:cat>
          <c:val>
            <c:numRef>
              <c:f>Sheet6!$B$4:$B$8</c:f>
              <c:numCache>
                <c:formatCode>General</c:formatCode>
                <c:ptCount val="5"/>
                <c:pt idx="0">
                  <c:v>1934.9099999999999</c:v>
                </c:pt>
                <c:pt idx="1">
                  <c:v>4839.92</c:v>
                </c:pt>
                <c:pt idx="2">
                  <c:v>2460.0099999999998</c:v>
                </c:pt>
                <c:pt idx="3">
                  <c:v>2480.67</c:v>
                </c:pt>
                <c:pt idx="4">
                  <c:v>1400.06</c:v>
                </c:pt>
              </c:numCache>
            </c:numRef>
          </c:val>
          <c:extLst>
            <c:ext xmlns:c16="http://schemas.microsoft.com/office/drawing/2014/chart" uri="{C3380CC4-5D6E-409C-BE32-E72D297353CC}">
              <c16:uniqueId val="{00000000-5B74-4E4E-BC7A-9FBCE724F69A}"/>
            </c:ext>
          </c:extLst>
        </c:ser>
        <c:dLbls>
          <c:showLegendKey val="0"/>
          <c:showVal val="0"/>
          <c:showCatName val="0"/>
          <c:showSerName val="0"/>
          <c:showPercent val="0"/>
          <c:showBubbleSize val="0"/>
        </c:dLbls>
        <c:gapWidth val="182"/>
        <c:axId val="947089456"/>
        <c:axId val="947090896"/>
      </c:barChart>
      <c:catAx>
        <c:axId val="9470894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7090896"/>
        <c:crosses val="autoZero"/>
        <c:auto val="1"/>
        <c:lblAlgn val="ctr"/>
        <c:lblOffset val="100"/>
        <c:noMultiLvlLbl val="0"/>
      </c:catAx>
      <c:valAx>
        <c:axId val="9470908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70894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[ecommerce_sales_data(dashboard).xlsx]ecommerce_sales_data!PivotTable3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ecommerce_sales_data!$C$46:$C$47</c:f>
              <c:strCache>
                <c:ptCount val="1"/>
                <c:pt idx="0">
                  <c:v>Beauty</c:v>
                </c:pt>
              </c:strCache>
            </c:strRef>
          </c:tx>
          <c:spPr>
            <a:solidFill>
              <a:schemeClr val="accent1"/>
            </a:solidFill>
            <a:ln>
              <a:noFill/>
            </a:ln>
            <a:effectLst/>
          </c:spPr>
          <c:invertIfNegative val="0"/>
          <c:cat>
            <c:strRef>
              <c:f>ecommerce_sales_data!$B$48:$B$51</c:f>
              <c:strCache>
                <c:ptCount val="3"/>
                <c:pt idx="0">
                  <c:v>Female</c:v>
                </c:pt>
                <c:pt idx="1">
                  <c:v>Male</c:v>
                </c:pt>
                <c:pt idx="2">
                  <c:v>Other</c:v>
                </c:pt>
              </c:strCache>
            </c:strRef>
          </c:cat>
          <c:val>
            <c:numRef>
              <c:f>ecommerce_sales_data!$C$48:$C$51</c:f>
              <c:numCache>
                <c:formatCode>General</c:formatCode>
                <c:ptCount val="3"/>
                <c:pt idx="0">
                  <c:v>810.81</c:v>
                </c:pt>
                <c:pt idx="1">
                  <c:v>631.96</c:v>
                </c:pt>
                <c:pt idx="2">
                  <c:v>443.71000000000004</c:v>
                </c:pt>
              </c:numCache>
            </c:numRef>
          </c:val>
          <c:extLst>
            <c:ext xmlns:c16="http://schemas.microsoft.com/office/drawing/2014/chart" uri="{C3380CC4-5D6E-409C-BE32-E72D297353CC}">
              <c16:uniqueId val="{00000000-5441-4E9A-B897-B922262338A9}"/>
            </c:ext>
          </c:extLst>
        </c:ser>
        <c:ser>
          <c:idx val="1"/>
          <c:order val="1"/>
          <c:tx>
            <c:strRef>
              <c:f>ecommerce_sales_data!$D$46:$D$47</c:f>
              <c:strCache>
                <c:ptCount val="1"/>
                <c:pt idx="0">
                  <c:v>Books</c:v>
                </c:pt>
              </c:strCache>
            </c:strRef>
          </c:tx>
          <c:spPr>
            <a:solidFill>
              <a:schemeClr val="accent2"/>
            </a:solidFill>
            <a:ln>
              <a:noFill/>
            </a:ln>
            <a:effectLst/>
          </c:spPr>
          <c:invertIfNegative val="0"/>
          <c:cat>
            <c:strRef>
              <c:f>ecommerce_sales_data!$B$48:$B$51</c:f>
              <c:strCache>
                <c:ptCount val="3"/>
                <c:pt idx="0">
                  <c:v>Female</c:v>
                </c:pt>
                <c:pt idx="1">
                  <c:v>Male</c:v>
                </c:pt>
                <c:pt idx="2">
                  <c:v>Other</c:v>
                </c:pt>
              </c:strCache>
            </c:strRef>
          </c:cat>
          <c:val>
            <c:numRef>
              <c:f>ecommerce_sales_data!$D$48:$D$51</c:f>
              <c:numCache>
                <c:formatCode>General</c:formatCode>
                <c:ptCount val="3"/>
                <c:pt idx="0">
                  <c:v>849.82</c:v>
                </c:pt>
                <c:pt idx="1">
                  <c:v>428.31</c:v>
                </c:pt>
              </c:numCache>
            </c:numRef>
          </c:val>
          <c:extLst>
            <c:ext xmlns:c16="http://schemas.microsoft.com/office/drawing/2014/chart" uri="{C3380CC4-5D6E-409C-BE32-E72D297353CC}">
              <c16:uniqueId val="{00000024-368D-4692-921C-EE4E7B1163F0}"/>
            </c:ext>
          </c:extLst>
        </c:ser>
        <c:ser>
          <c:idx val="2"/>
          <c:order val="2"/>
          <c:tx>
            <c:strRef>
              <c:f>ecommerce_sales_data!$E$46:$E$47</c:f>
              <c:strCache>
                <c:ptCount val="1"/>
                <c:pt idx="0">
                  <c:v>Clothing</c:v>
                </c:pt>
              </c:strCache>
            </c:strRef>
          </c:tx>
          <c:spPr>
            <a:solidFill>
              <a:schemeClr val="accent3"/>
            </a:solidFill>
            <a:ln>
              <a:noFill/>
            </a:ln>
            <a:effectLst/>
          </c:spPr>
          <c:invertIfNegative val="0"/>
          <c:cat>
            <c:strRef>
              <c:f>ecommerce_sales_data!$B$48:$B$51</c:f>
              <c:strCache>
                <c:ptCount val="3"/>
                <c:pt idx="0">
                  <c:v>Female</c:v>
                </c:pt>
                <c:pt idx="1">
                  <c:v>Male</c:v>
                </c:pt>
                <c:pt idx="2">
                  <c:v>Other</c:v>
                </c:pt>
              </c:strCache>
            </c:strRef>
          </c:cat>
          <c:val>
            <c:numRef>
              <c:f>ecommerce_sales_data!$E$48:$E$51</c:f>
              <c:numCache>
                <c:formatCode>General</c:formatCode>
                <c:ptCount val="3"/>
                <c:pt idx="0">
                  <c:v>801.66</c:v>
                </c:pt>
                <c:pt idx="2">
                  <c:v>785.38</c:v>
                </c:pt>
              </c:numCache>
            </c:numRef>
          </c:val>
          <c:extLst>
            <c:ext xmlns:c16="http://schemas.microsoft.com/office/drawing/2014/chart" uri="{C3380CC4-5D6E-409C-BE32-E72D297353CC}">
              <c16:uniqueId val="{00000025-368D-4692-921C-EE4E7B1163F0}"/>
            </c:ext>
          </c:extLst>
        </c:ser>
        <c:ser>
          <c:idx val="3"/>
          <c:order val="3"/>
          <c:tx>
            <c:strRef>
              <c:f>ecommerce_sales_data!$F$46:$F$47</c:f>
              <c:strCache>
                <c:ptCount val="1"/>
                <c:pt idx="0">
                  <c:v>Electronics</c:v>
                </c:pt>
              </c:strCache>
            </c:strRef>
          </c:tx>
          <c:spPr>
            <a:solidFill>
              <a:schemeClr val="accent4"/>
            </a:solidFill>
            <a:ln>
              <a:noFill/>
            </a:ln>
            <a:effectLst/>
          </c:spPr>
          <c:invertIfNegative val="0"/>
          <c:cat>
            <c:strRef>
              <c:f>ecommerce_sales_data!$B$48:$B$51</c:f>
              <c:strCache>
                <c:ptCount val="3"/>
                <c:pt idx="0">
                  <c:v>Female</c:v>
                </c:pt>
                <c:pt idx="1">
                  <c:v>Male</c:v>
                </c:pt>
                <c:pt idx="2">
                  <c:v>Other</c:v>
                </c:pt>
              </c:strCache>
            </c:strRef>
          </c:cat>
          <c:val>
            <c:numRef>
              <c:f>ecommerce_sales_data!$F$48:$F$51</c:f>
              <c:numCache>
                <c:formatCode>General</c:formatCode>
                <c:ptCount val="3"/>
                <c:pt idx="0">
                  <c:v>6.58</c:v>
                </c:pt>
                <c:pt idx="1">
                  <c:v>1098.49</c:v>
                </c:pt>
                <c:pt idx="2">
                  <c:v>1232.0700000000002</c:v>
                </c:pt>
              </c:numCache>
            </c:numRef>
          </c:val>
          <c:extLst>
            <c:ext xmlns:c16="http://schemas.microsoft.com/office/drawing/2014/chart" uri="{C3380CC4-5D6E-409C-BE32-E72D297353CC}">
              <c16:uniqueId val="{00000026-368D-4692-921C-EE4E7B1163F0}"/>
            </c:ext>
          </c:extLst>
        </c:ser>
        <c:ser>
          <c:idx val="4"/>
          <c:order val="4"/>
          <c:tx>
            <c:strRef>
              <c:f>ecommerce_sales_data!$G$46:$G$47</c:f>
              <c:strCache>
                <c:ptCount val="1"/>
                <c:pt idx="0">
                  <c:v>Home &amp; Kitchen</c:v>
                </c:pt>
              </c:strCache>
            </c:strRef>
          </c:tx>
          <c:spPr>
            <a:solidFill>
              <a:schemeClr val="accent5"/>
            </a:solidFill>
            <a:ln>
              <a:noFill/>
            </a:ln>
            <a:effectLst/>
          </c:spPr>
          <c:invertIfNegative val="0"/>
          <c:cat>
            <c:strRef>
              <c:f>ecommerce_sales_data!$B$48:$B$51</c:f>
              <c:strCache>
                <c:ptCount val="3"/>
                <c:pt idx="0">
                  <c:v>Female</c:v>
                </c:pt>
                <c:pt idx="1">
                  <c:v>Male</c:v>
                </c:pt>
                <c:pt idx="2">
                  <c:v>Other</c:v>
                </c:pt>
              </c:strCache>
            </c:strRef>
          </c:cat>
          <c:val>
            <c:numRef>
              <c:f>ecommerce_sales_data!$G$48:$G$51</c:f>
              <c:numCache>
                <c:formatCode>General</c:formatCode>
                <c:ptCount val="3"/>
                <c:pt idx="1">
                  <c:v>1072.92</c:v>
                </c:pt>
              </c:numCache>
            </c:numRef>
          </c:val>
          <c:extLst>
            <c:ext xmlns:c16="http://schemas.microsoft.com/office/drawing/2014/chart" uri="{C3380CC4-5D6E-409C-BE32-E72D297353CC}">
              <c16:uniqueId val="{00000027-368D-4692-921C-EE4E7B1163F0}"/>
            </c:ext>
          </c:extLst>
        </c:ser>
        <c:ser>
          <c:idx val="5"/>
          <c:order val="5"/>
          <c:tx>
            <c:strRef>
              <c:f>ecommerce_sales_data!$H$46:$H$47</c:f>
              <c:strCache>
                <c:ptCount val="1"/>
                <c:pt idx="0">
                  <c:v>Sports</c:v>
                </c:pt>
              </c:strCache>
            </c:strRef>
          </c:tx>
          <c:spPr>
            <a:solidFill>
              <a:schemeClr val="accent6"/>
            </a:solidFill>
            <a:ln>
              <a:noFill/>
            </a:ln>
            <a:effectLst/>
          </c:spPr>
          <c:invertIfNegative val="0"/>
          <c:cat>
            <c:strRef>
              <c:f>ecommerce_sales_data!$B$48:$B$51</c:f>
              <c:strCache>
                <c:ptCount val="3"/>
                <c:pt idx="0">
                  <c:v>Female</c:v>
                </c:pt>
                <c:pt idx="1">
                  <c:v>Male</c:v>
                </c:pt>
                <c:pt idx="2">
                  <c:v>Other</c:v>
                </c:pt>
              </c:strCache>
            </c:strRef>
          </c:cat>
          <c:val>
            <c:numRef>
              <c:f>ecommerce_sales_data!$H$48:$H$51</c:f>
              <c:numCache>
                <c:formatCode>General</c:formatCode>
                <c:ptCount val="3"/>
                <c:pt idx="0">
                  <c:v>522.87</c:v>
                </c:pt>
                <c:pt idx="1">
                  <c:v>576.59</c:v>
                </c:pt>
                <c:pt idx="2">
                  <c:v>1202.04</c:v>
                </c:pt>
              </c:numCache>
            </c:numRef>
          </c:val>
          <c:extLst>
            <c:ext xmlns:c16="http://schemas.microsoft.com/office/drawing/2014/chart" uri="{C3380CC4-5D6E-409C-BE32-E72D297353CC}">
              <c16:uniqueId val="{00000028-368D-4692-921C-EE4E7B1163F0}"/>
            </c:ext>
          </c:extLst>
        </c:ser>
        <c:ser>
          <c:idx val="6"/>
          <c:order val="6"/>
          <c:tx>
            <c:strRef>
              <c:f>ecommerce_sales_data!$I$46:$I$47</c:f>
              <c:strCache>
                <c:ptCount val="1"/>
                <c:pt idx="0">
                  <c:v>Toys</c:v>
                </c:pt>
              </c:strCache>
            </c:strRef>
          </c:tx>
          <c:spPr>
            <a:solidFill>
              <a:schemeClr val="accent1">
                <a:lumMod val="60000"/>
              </a:schemeClr>
            </a:solidFill>
            <a:ln>
              <a:noFill/>
            </a:ln>
            <a:effectLst/>
          </c:spPr>
          <c:invertIfNegative val="0"/>
          <c:cat>
            <c:strRef>
              <c:f>ecommerce_sales_data!$B$48:$B$51</c:f>
              <c:strCache>
                <c:ptCount val="3"/>
                <c:pt idx="0">
                  <c:v>Female</c:v>
                </c:pt>
                <c:pt idx="1">
                  <c:v>Male</c:v>
                </c:pt>
                <c:pt idx="2">
                  <c:v>Other</c:v>
                </c:pt>
              </c:strCache>
            </c:strRef>
          </c:cat>
          <c:val>
            <c:numRef>
              <c:f>ecommerce_sales_data!$I$48:$I$51</c:f>
              <c:numCache>
                <c:formatCode>General</c:formatCode>
                <c:ptCount val="3"/>
                <c:pt idx="0">
                  <c:v>1055.8599999999999</c:v>
                </c:pt>
                <c:pt idx="1">
                  <c:v>137.79</c:v>
                </c:pt>
                <c:pt idx="2">
                  <c:v>1458.71</c:v>
                </c:pt>
              </c:numCache>
            </c:numRef>
          </c:val>
          <c:extLst>
            <c:ext xmlns:c16="http://schemas.microsoft.com/office/drawing/2014/chart" uri="{C3380CC4-5D6E-409C-BE32-E72D297353CC}">
              <c16:uniqueId val="{00000029-368D-4692-921C-EE4E7B1163F0}"/>
            </c:ext>
          </c:extLst>
        </c:ser>
        <c:dLbls>
          <c:showLegendKey val="0"/>
          <c:showVal val="0"/>
          <c:showCatName val="0"/>
          <c:showSerName val="0"/>
          <c:showPercent val="0"/>
          <c:showBubbleSize val="0"/>
        </c:dLbls>
        <c:gapWidth val="219"/>
        <c:overlap val="-27"/>
        <c:axId val="527769903"/>
        <c:axId val="527768463"/>
      </c:barChart>
      <c:catAx>
        <c:axId val="527769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7768463"/>
        <c:crosses val="autoZero"/>
        <c:auto val="1"/>
        <c:lblAlgn val="ctr"/>
        <c:lblOffset val="100"/>
        <c:noMultiLvlLbl val="0"/>
      </c:catAx>
      <c:valAx>
        <c:axId val="5277684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7769903"/>
        <c:crosses val="autoZero"/>
        <c:crossBetween val="between"/>
      </c:valAx>
      <c:spPr>
        <a:noFill/>
        <a:ln>
          <a:noFill/>
        </a:ln>
        <a:effectLst/>
      </c:spPr>
    </c:plotArea>
    <c:legend>
      <c:legendPos val="r"/>
      <c:layout>
        <c:manualLayout>
          <c:xMode val="edge"/>
          <c:yMode val="edge"/>
          <c:x val="0.75069444444444444"/>
          <c:y val="0.1408449985418489"/>
          <c:w val="0.15843215283759793"/>
          <c:h val="0.6018467052123436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[ecommerce_sales_data(dashboard).xlsx]ecommerce_sales_data!PivotTable4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ecommerce_sales_data!$N$43:$N$44</c:f>
              <c:strCache>
                <c:ptCount val="1"/>
                <c:pt idx="0">
                  <c:v>Bank Transfer</c:v>
                </c:pt>
              </c:strCache>
            </c:strRef>
          </c:tx>
          <c:spPr>
            <a:solidFill>
              <a:schemeClr val="accent1"/>
            </a:solidFill>
            <a:ln>
              <a:noFill/>
            </a:ln>
            <a:effectLst/>
          </c:spPr>
          <c:invertIfNegative val="0"/>
          <c:cat>
            <c:strRef>
              <c:f>ecommerce_sales_data!$M$45:$M$48</c:f>
              <c:strCache>
                <c:ptCount val="3"/>
                <c:pt idx="0">
                  <c:v>Female</c:v>
                </c:pt>
                <c:pt idx="1">
                  <c:v>Male</c:v>
                </c:pt>
                <c:pt idx="2">
                  <c:v>Other</c:v>
                </c:pt>
              </c:strCache>
            </c:strRef>
          </c:cat>
          <c:val>
            <c:numRef>
              <c:f>ecommerce_sales_data!$N$45:$N$48</c:f>
              <c:numCache>
                <c:formatCode>General</c:formatCode>
                <c:ptCount val="3"/>
                <c:pt idx="0">
                  <c:v>157.02000000000001</c:v>
                </c:pt>
                <c:pt idx="1">
                  <c:v>802.24</c:v>
                </c:pt>
                <c:pt idx="2">
                  <c:v>975.65</c:v>
                </c:pt>
              </c:numCache>
            </c:numRef>
          </c:val>
          <c:extLst>
            <c:ext xmlns:c16="http://schemas.microsoft.com/office/drawing/2014/chart" uri="{C3380CC4-5D6E-409C-BE32-E72D297353CC}">
              <c16:uniqueId val="{00000000-2734-4C50-9BDE-B3452502696C}"/>
            </c:ext>
          </c:extLst>
        </c:ser>
        <c:ser>
          <c:idx val="1"/>
          <c:order val="1"/>
          <c:tx>
            <c:strRef>
              <c:f>ecommerce_sales_data!$O$43:$O$44</c:f>
              <c:strCache>
                <c:ptCount val="1"/>
                <c:pt idx="0">
                  <c:v>Cash on Delivery</c:v>
                </c:pt>
              </c:strCache>
            </c:strRef>
          </c:tx>
          <c:spPr>
            <a:solidFill>
              <a:schemeClr val="accent2"/>
            </a:solidFill>
            <a:ln>
              <a:noFill/>
            </a:ln>
            <a:effectLst/>
          </c:spPr>
          <c:invertIfNegative val="0"/>
          <c:cat>
            <c:strRef>
              <c:f>ecommerce_sales_data!$M$45:$M$48</c:f>
              <c:strCache>
                <c:ptCount val="3"/>
                <c:pt idx="0">
                  <c:v>Female</c:v>
                </c:pt>
                <c:pt idx="1">
                  <c:v>Male</c:v>
                </c:pt>
                <c:pt idx="2">
                  <c:v>Other</c:v>
                </c:pt>
              </c:strCache>
            </c:strRef>
          </c:cat>
          <c:val>
            <c:numRef>
              <c:f>ecommerce_sales_data!$O$45:$O$48</c:f>
              <c:numCache>
                <c:formatCode>General</c:formatCode>
                <c:ptCount val="3"/>
                <c:pt idx="0">
                  <c:v>3229.66</c:v>
                </c:pt>
                <c:pt idx="1">
                  <c:v>346.74</c:v>
                </c:pt>
                <c:pt idx="2">
                  <c:v>1263.52</c:v>
                </c:pt>
              </c:numCache>
            </c:numRef>
          </c:val>
          <c:extLst>
            <c:ext xmlns:c16="http://schemas.microsoft.com/office/drawing/2014/chart" uri="{C3380CC4-5D6E-409C-BE32-E72D297353CC}">
              <c16:uniqueId val="{00000001-2734-4C50-9BDE-B3452502696C}"/>
            </c:ext>
          </c:extLst>
        </c:ser>
        <c:ser>
          <c:idx val="2"/>
          <c:order val="2"/>
          <c:tx>
            <c:strRef>
              <c:f>ecommerce_sales_data!$P$43:$P$44</c:f>
              <c:strCache>
                <c:ptCount val="1"/>
                <c:pt idx="0">
                  <c:v>Credit Card</c:v>
                </c:pt>
              </c:strCache>
            </c:strRef>
          </c:tx>
          <c:spPr>
            <a:solidFill>
              <a:schemeClr val="accent3"/>
            </a:solidFill>
            <a:ln>
              <a:noFill/>
            </a:ln>
            <a:effectLst/>
          </c:spPr>
          <c:invertIfNegative val="0"/>
          <c:cat>
            <c:strRef>
              <c:f>ecommerce_sales_data!$M$45:$M$48</c:f>
              <c:strCache>
                <c:ptCount val="3"/>
                <c:pt idx="0">
                  <c:v>Female</c:v>
                </c:pt>
                <c:pt idx="1">
                  <c:v>Male</c:v>
                </c:pt>
                <c:pt idx="2">
                  <c:v>Other</c:v>
                </c:pt>
              </c:strCache>
            </c:strRef>
          </c:cat>
          <c:val>
            <c:numRef>
              <c:f>ecommerce_sales_data!$P$45:$P$48</c:f>
              <c:numCache>
                <c:formatCode>General</c:formatCode>
                <c:ptCount val="3"/>
                <c:pt idx="1">
                  <c:v>1283.5700000000002</c:v>
                </c:pt>
                <c:pt idx="2">
                  <c:v>1176.44</c:v>
                </c:pt>
              </c:numCache>
            </c:numRef>
          </c:val>
          <c:extLst>
            <c:ext xmlns:c16="http://schemas.microsoft.com/office/drawing/2014/chart" uri="{C3380CC4-5D6E-409C-BE32-E72D297353CC}">
              <c16:uniqueId val="{00000002-2734-4C50-9BDE-B3452502696C}"/>
            </c:ext>
          </c:extLst>
        </c:ser>
        <c:ser>
          <c:idx val="3"/>
          <c:order val="3"/>
          <c:tx>
            <c:strRef>
              <c:f>ecommerce_sales_data!$Q$43:$Q$44</c:f>
              <c:strCache>
                <c:ptCount val="1"/>
                <c:pt idx="0">
                  <c:v>Debit Card</c:v>
                </c:pt>
              </c:strCache>
            </c:strRef>
          </c:tx>
          <c:spPr>
            <a:solidFill>
              <a:schemeClr val="accent4"/>
            </a:solidFill>
            <a:ln>
              <a:noFill/>
            </a:ln>
            <a:effectLst/>
          </c:spPr>
          <c:invertIfNegative val="0"/>
          <c:cat>
            <c:strRef>
              <c:f>ecommerce_sales_data!$M$45:$M$48</c:f>
              <c:strCache>
                <c:ptCount val="3"/>
                <c:pt idx="0">
                  <c:v>Female</c:v>
                </c:pt>
                <c:pt idx="1">
                  <c:v>Male</c:v>
                </c:pt>
                <c:pt idx="2">
                  <c:v>Other</c:v>
                </c:pt>
              </c:strCache>
            </c:strRef>
          </c:cat>
          <c:val>
            <c:numRef>
              <c:f>ecommerce_sales_data!$Q$45:$Q$48</c:f>
              <c:numCache>
                <c:formatCode>General</c:formatCode>
                <c:ptCount val="3"/>
                <c:pt idx="0">
                  <c:v>654.34</c:v>
                </c:pt>
                <c:pt idx="1">
                  <c:v>559.1</c:v>
                </c:pt>
                <c:pt idx="2">
                  <c:v>1267.23</c:v>
                </c:pt>
              </c:numCache>
            </c:numRef>
          </c:val>
          <c:extLst>
            <c:ext xmlns:c16="http://schemas.microsoft.com/office/drawing/2014/chart" uri="{C3380CC4-5D6E-409C-BE32-E72D297353CC}">
              <c16:uniqueId val="{00000002-BEC0-4F0D-90D5-F6C56F152E81}"/>
            </c:ext>
          </c:extLst>
        </c:ser>
        <c:ser>
          <c:idx val="4"/>
          <c:order val="4"/>
          <c:tx>
            <c:strRef>
              <c:f>ecommerce_sales_data!$R$43:$R$44</c:f>
              <c:strCache>
                <c:ptCount val="1"/>
                <c:pt idx="0">
                  <c:v>PayPal</c:v>
                </c:pt>
              </c:strCache>
            </c:strRef>
          </c:tx>
          <c:spPr>
            <a:solidFill>
              <a:schemeClr val="accent5"/>
            </a:solidFill>
            <a:ln>
              <a:noFill/>
            </a:ln>
            <a:effectLst/>
          </c:spPr>
          <c:invertIfNegative val="0"/>
          <c:cat>
            <c:strRef>
              <c:f>ecommerce_sales_data!$M$45:$M$48</c:f>
              <c:strCache>
                <c:ptCount val="3"/>
                <c:pt idx="0">
                  <c:v>Female</c:v>
                </c:pt>
                <c:pt idx="1">
                  <c:v>Male</c:v>
                </c:pt>
                <c:pt idx="2">
                  <c:v>Other</c:v>
                </c:pt>
              </c:strCache>
            </c:strRef>
          </c:cat>
          <c:val>
            <c:numRef>
              <c:f>ecommerce_sales_data!$R$45:$R$48</c:f>
              <c:numCache>
                <c:formatCode>General</c:formatCode>
                <c:ptCount val="3"/>
                <c:pt idx="0">
                  <c:v>6.58</c:v>
                </c:pt>
                <c:pt idx="1">
                  <c:v>954.41</c:v>
                </c:pt>
                <c:pt idx="2">
                  <c:v>439.07</c:v>
                </c:pt>
              </c:numCache>
            </c:numRef>
          </c:val>
          <c:extLst>
            <c:ext xmlns:c16="http://schemas.microsoft.com/office/drawing/2014/chart" uri="{C3380CC4-5D6E-409C-BE32-E72D297353CC}">
              <c16:uniqueId val="{0000000A-BEC0-4F0D-90D5-F6C56F152E81}"/>
            </c:ext>
          </c:extLst>
        </c:ser>
        <c:dLbls>
          <c:showLegendKey val="0"/>
          <c:showVal val="0"/>
          <c:showCatName val="0"/>
          <c:showSerName val="0"/>
          <c:showPercent val="0"/>
          <c:showBubbleSize val="0"/>
        </c:dLbls>
        <c:gapWidth val="219"/>
        <c:overlap val="-27"/>
        <c:axId val="1059450367"/>
        <c:axId val="1059453247"/>
      </c:barChart>
      <c:catAx>
        <c:axId val="1059450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9453247"/>
        <c:crosses val="autoZero"/>
        <c:auto val="1"/>
        <c:lblAlgn val="ctr"/>
        <c:lblOffset val="100"/>
        <c:noMultiLvlLbl val="0"/>
      </c:catAx>
      <c:valAx>
        <c:axId val="10594532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94503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[ecommerce_sales_data(dashboard).xlsx]ecommerce_sales_data!PivotTable2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ecommerce_sales_data!$Q$52</c:f>
              <c:strCache>
                <c:ptCount val="1"/>
                <c:pt idx="0">
                  <c:v>Total</c:v>
                </c:pt>
              </c:strCache>
            </c:strRef>
          </c:tx>
          <c:spPr>
            <a:solidFill>
              <a:schemeClr val="accent1"/>
            </a:solidFill>
            <a:ln>
              <a:noFill/>
            </a:ln>
            <a:effectLst/>
          </c:spPr>
          <c:invertIfNegative val="0"/>
          <c:cat>
            <c:strRef>
              <c:f>ecommerce_sales_data!$P$53:$P$58</c:f>
              <c:strCache>
                <c:ptCount val="5"/>
                <c:pt idx="0">
                  <c:v>Bank Transfer</c:v>
                </c:pt>
                <c:pt idx="1">
                  <c:v>Cash on Delivery</c:v>
                </c:pt>
                <c:pt idx="2">
                  <c:v>Credit Card</c:v>
                </c:pt>
                <c:pt idx="3">
                  <c:v>Debit Card</c:v>
                </c:pt>
                <c:pt idx="4">
                  <c:v>PayPal</c:v>
                </c:pt>
              </c:strCache>
            </c:strRef>
          </c:cat>
          <c:val>
            <c:numRef>
              <c:f>ecommerce_sales_data!$Q$53:$Q$58</c:f>
              <c:numCache>
                <c:formatCode>General</c:formatCode>
                <c:ptCount val="5"/>
                <c:pt idx="0">
                  <c:v>1934.9099999999999</c:v>
                </c:pt>
                <c:pt idx="1">
                  <c:v>4839.92</c:v>
                </c:pt>
                <c:pt idx="2">
                  <c:v>2460.0099999999998</c:v>
                </c:pt>
                <c:pt idx="3">
                  <c:v>2480.67</c:v>
                </c:pt>
                <c:pt idx="4">
                  <c:v>1400.06</c:v>
                </c:pt>
              </c:numCache>
            </c:numRef>
          </c:val>
          <c:extLst>
            <c:ext xmlns:c16="http://schemas.microsoft.com/office/drawing/2014/chart" uri="{C3380CC4-5D6E-409C-BE32-E72D297353CC}">
              <c16:uniqueId val="{00000000-F836-43E2-B473-ADDCA175FC78}"/>
            </c:ext>
          </c:extLst>
        </c:ser>
        <c:dLbls>
          <c:showLegendKey val="0"/>
          <c:showVal val="0"/>
          <c:showCatName val="0"/>
          <c:showSerName val="0"/>
          <c:showPercent val="0"/>
          <c:showBubbleSize val="0"/>
        </c:dLbls>
        <c:gapWidth val="219"/>
        <c:overlap val="-27"/>
        <c:axId val="1706683632"/>
        <c:axId val="1706679792"/>
      </c:barChart>
      <c:catAx>
        <c:axId val="1706683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6679792"/>
        <c:crosses val="autoZero"/>
        <c:auto val="1"/>
        <c:lblAlgn val="ctr"/>
        <c:lblOffset val="100"/>
        <c:noMultiLvlLbl val="0"/>
      </c:catAx>
      <c:valAx>
        <c:axId val="17066797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6683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ecommerce_sales_data!$N$1</c:f>
              <c:strCache>
                <c:ptCount val="1"/>
                <c:pt idx="0">
                  <c:v>CustomerLoyaltyScore</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Pt>
            <c:idx val="18"/>
            <c:bubble3D val="0"/>
            <c:spPr>
              <a:solidFill>
                <a:schemeClr val="accent1">
                  <a:lumMod val="80000"/>
                </a:schemeClr>
              </a:solidFill>
              <a:ln w="19050">
                <a:solidFill>
                  <a:schemeClr val="lt1"/>
                </a:solidFill>
              </a:ln>
              <a:effectLst/>
            </c:spPr>
          </c:dPt>
          <c:dPt>
            <c:idx val="19"/>
            <c:bubble3D val="0"/>
            <c:spPr>
              <a:solidFill>
                <a:schemeClr val="accent2">
                  <a:lumMod val="80000"/>
                </a:schemeClr>
              </a:solidFill>
              <a:ln w="19050">
                <a:solidFill>
                  <a:schemeClr val="lt1"/>
                </a:solidFill>
              </a:ln>
              <a:effectLst/>
            </c:spPr>
          </c:dPt>
          <c:dPt>
            <c:idx val="20"/>
            <c:bubble3D val="0"/>
            <c:spPr>
              <a:solidFill>
                <a:schemeClr val="accent3">
                  <a:lumMod val="80000"/>
                </a:schemeClr>
              </a:solidFill>
              <a:ln w="19050">
                <a:solidFill>
                  <a:schemeClr val="lt1"/>
                </a:solidFill>
              </a:ln>
              <a:effectLst/>
            </c:spPr>
          </c:dPt>
          <c:dPt>
            <c:idx val="21"/>
            <c:bubble3D val="0"/>
            <c:spPr>
              <a:solidFill>
                <a:schemeClr val="accent4">
                  <a:lumMod val="80000"/>
                </a:schemeClr>
              </a:solidFill>
              <a:ln w="19050">
                <a:solidFill>
                  <a:schemeClr val="lt1"/>
                </a:solidFill>
              </a:ln>
              <a:effectLst/>
            </c:spPr>
          </c:dPt>
          <c:dPt>
            <c:idx val="22"/>
            <c:bubble3D val="0"/>
            <c:spPr>
              <a:solidFill>
                <a:schemeClr val="accent5">
                  <a:lumMod val="80000"/>
                </a:schemeClr>
              </a:solidFill>
              <a:ln w="19050">
                <a:solidFill>
                  <a:schemeClr val="lt1"/>
                </a:solidFill>
              </a:ln>
              <a:effectLst/>
            </c:spPr>
          </c:dPt>
          <c:dPt>
            <c:idx val="23"/>
            <c:bubble3D val="0"/>
            <c:spPr>
              <a:solidFill>
                <a:schemeClr val="accent6">
                  <a:lumMod val="80000"/>
                </a:schemeClr>
              </a:solidFill>
              <a:ln w="19050">
                <a:solidFill>
                  <a:schemeClr val="lt1"/>
                </a:solidFill>
              </a:ln>
              <a:effectLst/>
            </c:spPr>
          </c:dPt>
          <c:dPt>
            <c:idx val="24"/>
            <c:bubble3D val="0"/>
            <c:spPr>
              <a:solidFill>
                <a:schemeClr val="accent1">
                  <a:lumMod val="60000"/>
                  <a:lumOff val="40000"/>
                </a:schemeClr>
              </a:solidFill>
              <a:ln w="19050">
                <a:solidFill>
                  <a:schemeClr val="lt1"/>
                </a:solidFill>
              </a:ln>
              <a:effectLst/>
            </c:spPr>
          </c:dPt>
          <c:dPt>
            <c:idx val="25"/>
            <c:bubble3D val="0"/>
            <c:spPr>
              <a:solidFill>
                <a:schemeClr val="accent2">
                  <a:lumMod val="60000"/>
                  <a:lumOff val="40000"/>
                </a:schemeClr>
              </a:solidFill>
              <a:ln w="19050">
                <a:solidFill>
                  <a:schemeClr val="lt1"/>
                </a:solidFill>
              </a:ln>
              <a:effectLst/>
            </c:spPr>
          </c:dPt>
          <c:dPt>
            <c:idx val="26"/>
            <c:bubble3D val="0"/>
            <c:spPr>
              <a:solidFill>
                <a:schemeClr val="accent3">
                  <a:lumMod val="60000"/>
                  <a:lumOff val="40000"/>
                </a:schemeClr>
              </a:solidFill>
              <a:ln w="19050">
                <a:solidFill>
                  <a:schemeClr val="lt1"/>
                </a:solidFill>
              </a:ln>
              <a:effectLst/>
            </c:spPr>
          </c:dPt>
          <c:dPt>
            <c:idx val="27"/>
            <c:bubble3D val="0"/>
            <c:spPr>
              <a:solidFill>
                <a:schemeClr val="accent4">
                  <a:lumMod val="60000"/>
                  <a:lumOff val="40000"/>
                </a:schemeClr>
              </a:solidFill>
              <a:ln w="19050">
                <a:solidFill>
                  <a:schemeClr val="lt1"/>
                </a:solidFill>
              </a:ln>
              <a:effectLst/>
            </c:spPr>
          </c:dPt>
          <c:dPt>
            <c:idx val="28"/>
            <c:bubble3D val="0"/>
            <c:spPr>
              <a:solidFill>
                <a:schemeClr val="accent5">
                  <a:lumMod val="60000"/>
                  <a:lumOff val="40000"/>
                </a:schemeClr>
              </a:solidFill>
              <a:ln w="19050">
                <a:solidFill>
                  <a:schemeClr val="lt1"/>
                </a:solidFill>
              </a:ln>
              <a:effectLst/>
            </c:spPr>
          </c:dPt>
          <c:dPt>
            <c:idx val="29"/>
            <c:bubble3D val="0"/>
            <c:spPr>
              <a:solidFill>
                <a:schemeClr val="accent6">
                  <a:lumMod val="60000"/>
                  <a:lumOff val="40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multiLvlStrRef>
              <c:f>ecommerce_sales_data!$A$2:$M$31</c:f>
              <c:multiLvlStrCache>
                <c:ptCount val="30"/>
                <c:lvl>
                  <c:pt idx="0">
                    <c:v>Medium</c:v>
                  </c:pt>
                  <c:pt idx="1">
                    <c:v>High</c:v>
                  </c:pt>
                  <c:pt idx="2">
                    <c:v>High</c:v>
                  </c:pt>
                  <c:pt idx="3">
                    <c:v>Low</c:v>
                  </c:pt>
                  <c:pt idx="4">
                    <c:v>High</c:v>
                  </c:pt>
                  <c:pt idx="5">
                    <c:v>High</c:v>
                  </c:pt>
                  <c:pt idx="6">
                    <c:v>Low</c:v>
                  </c:pt>
                  <c:pt idx="7">
                    <c:v>High</c:v>
                  </c:pt>
                  <c:pt idx="8">
                    <c:v>Low</c:v>
                  </c:pt>
                  <c:pt idx="9">
                    <c:v>Low</c:v>
                  </c:pt>
                  <c:pt idx="10">
                    <c:v>Low</c:v>
                  </c:pt>
                  <c:pt idx="11">
                    <c:v>High</c:v>
                  </c:pt>
                  <c:pt idx="12">
                    <c:v>Low</c:v>
                  </c:pt>
                  <c:pt idx="13">
                    <c:v>Low</c:v>
                  </c:pt>
                  <c:pt idx="14">
                    <c:v>High</c:v>
                  </c:pt>
                  <c:pt idx="15">
                    <c:v>Low</c:v>
                  </c:pt>
                  <c:pt idx="16">
                    <c:v>Medium</c:v>
                  </c:pt>
                  <c:pt idx="17">
                    <c:v>Medium</c:v>
                  </c:pt>
                  <c:pt idx="18">
                    <c:v>Low</c:v>
                  </c:pt>
                  <c:pt idx="19">
                    <c:v>Low</c:v>
                  </c:pt>
                  <c:pt idx="20">
                    <c:v>Medium</c:v>
                  </c:pt>
                  <c:pt idx="21">
                    <c:v>Medium</c:v>
                  </c:pt>
                  <c:pt idx="22">
                    <c:v>Medium</c:v>
                  </c:pt>
                  <c:pt idx="23">
                    <c:v>High</c:v>
                  </c:pt>
                  <c:pt idx="24">
                    <c:v>High</c:v>
                  </c:pt>
                  <c:pt idx="25">
                    <c:v>Low</c:v>
                  </c:pt>
                  <c:pt idx="26">
                    <c:v>Low</c:v>
                  </c:pt>
                  <c:pt idx="27">
                    <c:v>Low</c:v>
                  </c:pt>
                  <c:pt idx="28">
                    <c:v>High</c:v>
                  </c:pt>
                  <c:pt idx="29">
                    <c:v>Low</c:v>
                  </c:pt>
                </c:lvl>
                <c:lvl>
                  <c:pt idx="0">
                    <c:v>Female</c:v>
                  </c:pt>
                  <c:pt idx="1">
                    <c:v>Other</c:v>
                  </c:pt>
                  <c:pt idx="2">
                    <c:v>Female</c:v>
                  </c:pt>
                  <c:pt idx="3">
                    <c:v>Female</c:v>
                  </c:pt>
                  <c:pt idx="4">
                    <c:v>Other</c:v>
                  </c:pt>
                  <c:pt idx="5">
                    <c:v>Male</c:v>
                  </c:pt>
                  <c:pt idx="6">
                    <c:v>Male</c:v>
                  </c:pt>
                  <c:pt idx="7">
                    <c:v>Female</c:v>
                  </c:pt>
                  <c:pt idx="8">
                    <c:v>Male</c:v>
                  </c:pt>
                  <c:pt idx="9">
                    <c:v>Female</c:v>
                  </c:pt>
                  <c:pt idx="10">
                    <c:v>Other</c:v>
                  </c:pt>
                  <c:pt idx="11">
                    <c:v>Other</c:v>
                  </c:pt>
                  <c:pt idx="12">
                    <c:v>Other</c:v>
                  </c:pt>
                  <c:pt idx="13">
                    <c:v>Male</c:v>
                  </c:pt>
                  <c:pt idx="14">
                    <c:v>Other</c:v>
                  </c:pt>
                  <c:pt idx="15">
                    <c:v>Other</c:v>
                  </c:pt>
                  <c:pt idx="16">
                    <c:v>Other</c:v>
                  </c:pt>
                  <c:pt idx="17">
                    <c:v>Other</c:v>
                  </c:pt>
                  <c:pt idx="18">
                    <c:v>Female</c:v>
                  </c:pt>
                  <c:pt idx="19">
                    <c:v>Other</c:v>
                  </c:pt>
                  <c:pt idx="20">
                    <c:v>Male</c:v>
                  </c:pt>
                  <c:pt idx="21">
                    <c:v>Female</c:v>
                  </c:pt>
                  <c:pt idx="22">
                    <c:v>Other</c:v>
                  </c:pt>
                  <c:pt idx="23">
                    <c:v>Female</c:v>
                  </c:pt>
                  <c:pt idx="24">
                    <c:v>Male</c:v>
                  </c:pt>
                  <c:pt idx="25">
                    <c:v>Male</c:v>
                  </c:pt>
                  <c:pt idx="26">
                    <c:v>Male</c:v>
                  </c:pt>
                  <c:pt idx="27">
                    <c:v>Male</c:v>
                  </c:pt>
                  <c:pt idx="28">
                    <c:v>Other</c:v>
                  </c:pt>
                  <c:pt idx="29">
                    <c:v>Female</c:v>
                  </c:pt>
                </c:lvl>
                <c:lvl>
                  <c:pt idx="0">
                    <c:v>46</c:v>
                  </c:pt>
                  <c:pt idx="1">
                    <c:v>59</c:v>
                  </c:pt>
                  <c:pt idx="2">
                    <c:v>61</c:v>
                  </c:pt>
                  <c:pt idx="3">
                    <c:v>69</c:v>
                  </c:pt>
                  <c:pt idx="4">
                    <c:v>29</c:v>
                  </c:pt>
                  <c:pt idx="5">
                    <c:v>60</c:v>
                  </c:pt>
                  <c:pt idx="6">
                    <c:v>69</c:v>
                  </c:pt>
                  <c:pt idx="7">
                    <c:v>45</c:v>
                  </c:pt>
                  <c:pt idx="8">
                    <c:v>37</c:v>
                  </c:pt>
                  <c:pt idx="9">
                    <c:v>67</c:v>
                  </c:pt>
                  <c:pt idx="10">
                    <c:v>36</c:v>
                  </c:pt>
                  <c:pt idx="11">
                    <c:v>61</c:v>
                  </c:pt>
                  <c:pt idx="12">
                    <c:v>65</c:v>
                  </c:pt>
                  <c:pt idx="13">
                    <c:v>35</c:v>
                  </c:pt>
                  <c:pt idx="14">
                    <c:v>20</c:v>
                  </c:pt>
                  <c:pt idx="15">
                    <c:v>46</c:v>
                  </c:pt>
                  <c:pt idx="16">
                    <c:v>21</c:v>
                  </c:pt>
                  <c:pt idx="17">
                    <c:v>23</c:v>
                  </c:pt>
                  <c:pt idx="18">
                    <c:v>52</c:v>
                  </c:pt>
                  <c:pt idx="19">
                    <c:v>46</c:v>
                  </c:pt>
                  <c:pt idx="20">
                    <c:v>60</c:v>
                  </c:pt>
                  <c:pt idx="21">
                    <c:v>54</c:v>
                  </c:pt>
                  <c:pt idx="22">
                    <c:v>29</c:v>
                  </c:pt>
                  <c:pt idx="23">
                    <c:v>45</c:v>
                  </c:pt>
                  <c:pt idx="24">
                    <c:v>38</c:v>
                  </c:pt>
                  <c:pt idx="25">
                    <c:v>52</c:v>
                  </c:pt>
                  <c:pt idx="26">
                    <c:v>66</c:v>
                  </c:pt>
                  <c:pt idx="27">
                    <c:v>34</c:v>
                  </c:pt>
                  <c:pt idx="28">
                    <c:v>52</c:v>
                  </c:pt>
                  <c:pt idx="29">
                    <c:v>68</c:v>
                  </c:pt>
                </c:lvl>
                <c:lvl>
                  <c:pt idx="0">
                    <c:v>New Juan</c:v>
                  </c:pt>
                  <c:pt idx="1">
                    <c:v>South Julie</c:v>
                  </c:pt>
                  <c:pt idx="2">
                    <c:v>West Carrieview</c:v>
                  </c:pt>
                  <c:pt idx="3">
                    <c:v>Christianberg</c:v>
                  </c:pt>
                  <c:pt idx="4">
                    <c:v>South Williamhaven</c:v>
                  </c:pt>
                  <c:pt idx="5">
                    <c:v>Stephenfort</c:v>
                  </c:pt>
                  <c:pt idx="6">
                    <c:v>North Terristad</c:v>
                  </c:pt>
                  <c:pt idx="7">
                    <c:v>Pachecotown</c:v>
                  </c:pt>
                  <c:pt idx="8">
                    <c:v>Port Philipberg</c:v>
                  </c:pt>
                  <c:pt idx="9">
                    <c:v>Jenniferfurt</c:v>
                  </c:pt>
                  <c:pt idx="10">
                    <c:v>Lake Carolyn</c:v>
                  </c:pt>
                  <c:pt idx="11">
                    <c:v>Amandaborough</c:v>
                  </c:pt>
                  <c:pt idx="12">
                    <c:v>South Maria</c:v>
                  </c:pt>
                  <c:pt idx="13">
                    <c:v>West Marissa</c:v>
                  </c:pt>
                  <c:pt idx="14">
                    <c:v>Austinburgh</c:v>
                  </c:pt>
                  <c:pt idx="15">
                    <c:v>Lake Jesse</c:v>
                  </c:pt>
                  <c:pt idx="16">
                    <c:v>Marioburgh</c:v>
                  </c:pt>
                  <c:pt idx="17">
                    <c:v>Ryanhaven</c:v>
                  </c:pt>
                  <c:pt idx="18">
                    <c:v>Dickersonmouth</c:v>
                  </c:pt>
                  <c:pt idx="19">
                    <c:v>Annaborough</c:v>
                  </c:pt>
                  <c:pt idx="20">
                    <c:v>Ramirezburgh</c:v>
                  </c:pt>
                  <c:pt idx="21">
                    <c:v>Sextonberg</c:v>
                  </c:pt>
                  <c:pt idx="22">
                    <c:v>Beasleyshire</c:v>
                  </c:pt>
                  <c:pt idx="23">
                    <c:v>Lake Brittneyland</c:v>
                  </c:pt>
                  <c:pt idx="24">
                    <c:v>South John</c:v>
                  </c:pt>
                  <c:pt idx="25">
                    <c:v>New Devin</c:v>
                  </c:pt>
                  <c:pt idx="26">
                    <c:v>Lake Denise</c:v>
                  </c:pt>
                  <c:pt idx="27">
                    <c:v>South Susan</c:v>
                  </c:pt>
                  <c:pt idx="28">
                    <c:v>Johnsonchester</c:v>
                  </c:pt>
                  <c:pt idx="29">
                    <c:v>Martinberg</c:v>
                  </c:pt>
                </c:lvl>
                <c:lvl>
                  <c:pt idx="0">
                    <c:v>22-12-2023 10:35</c:v>
                  </c:pt>
                  <c:pt idx="1">
                    <c:v>05-05-2024 10:40</c:v>
                  </c:pt>
                  <c:pt idx="2">
                    <c:v>04-12-2023 05:22</c:v>
                  </c:pt>
                  <c:pt idx="3">
                    <c:v>02-01-2024 11:11</c:v>
                  </c:pt>
                  <c:pt idx="4">
                    <c:v>18-06-2024 01:01</c:v>
                  </c:pt>
                  <c:pt idx="5">
                    <c:v>06-03-2024 06:15</c:v>
                  </c:pt>
                  <c:pt idx="6">
                    <c:v>15-10-2023 13:30</c:v>
                  </c:pt>
                  <c:pt idx="7">
                    <c:v>16-05-2024 01:46</c:v>
                  </c:pt>
                  <c:pt idx="8">
                    <c:v>04-08-2024 17:13</c:v>
                  </c:pt>
                  <c:pt idx="9">
                    <c:v>18-12-2023 18:38</c:v>
                  </c:pt>
                  <c:pt idx="10">
                    <c:v>26-05-2024 02:56</c:v>
                  </c:pt>
                  <c:pt idx="11">
                    <c:v>26-09-2023 05:18</c:v>
                  </c:pt>
                  <c:pt idx="12">
                    <c:v>13-12-2023 23:53</c:v>
                  </c:pt>
                  <c:pt idx="13">
                    <c:v>02-12-2023 07:44</c:v>
                  </c:pt>
                  <c:pt idx="14">
                    <c:v>01-03-2024 17:49</c:v>
                  </c:pt>
                  <c:pt idx="15">
                    <c:v>12-08-2024 12:13</c:v>
                  </c:pt>
                  <c:pt idx="16">
                    <c:v>24-07-2024 08:49</c:v>
                  </c:pt>
                  <c:pt idx="17">
                    <c:v>14-06-2024 18:03</c:v>
                  </c:pt>
                  <c:pt idx="18">
                    <c:v>02-03-2024 05:18</c:v>
                  </c:pt>
                  <c:pt idx="19">
                    <c:v>19-05-2024 13:22</c:v>
                  </c:pt>
                  <c:pt idx="20">
                    <c:v>13-05-2024 10:04</c:v>
                  </c:pt>
                  <c:pt idx="21">
                    <c:v>05-04-2024 20:50</c:v>
                  </c:pt>
                  <c:pt idx="22">
                    <c:v>17-11-2023 05:30</c:v>
                  </c:pt>
                  <c:pt idx="23">
                    <c:v>05-08-2024 14:07</c:v>
                  </c:pt>
                  <c:pt idx="24">
                    <c:v>24-02-2024 01:14</c:v>
                  </c:pt>
                  <c:pt idx="25">
                    <c:v>04-03-2024 09:18</c:v>
                  </c:pt>
                  <c:pt idx="26">
                    <c:v>26-10-2023 07:12</c:v>
                  </c:pt>
                  <c:pt idx="27">
                    <c:v>04-08-2024 12:39</c:v>
                  </c:pt>
                  <c:pt idx="28">
                    <c:v>06-05-2024 01:39</c:v>
                  </c:pt>
                  <c:pt idx="29">
                    <c:v>23-10-2023 11:34</c:v>
                  </c:pt>
                </c:lvl>
                <c:lvl>
                  <c:pt idx="0">
                    <c:v>0.13</c:v>
                  </c:pt>
                  <c:pt idx="1">
                    <c:v>0.06</c:v>
                  </c:pt>
                  <c:pt idx="2">
                    <c:v>0.24</c:v>
                  </c:pt>
                  <c:pt idx="3">
                    <c:v>0.01</c:v>
                  </c:pt>
                  <c:pt idx="4">
                    <c:v>0.14</c:v>
                  </c:pt>
                  <c:pt idx="5">
                    <c:v>0.18</c:v>
                  </c:pt>
                  <c:pt idx="6">
                    <c:v>0.09</c:v>
                  </c:pt>
                  <c:pt idx="7">
                    <c:v>0.29</c:v>
                  </c:pt>
                  <c:pt idx="8">
                    <c:v>0.12</c:v>
                  </c:pt>
                  <c:pt idx="9">
                    <c:v>0.23</c:v>
                  </c:pt>
                  <c:pt idx="10">
                    <c:v>0.06</c:v>
                  </c:pt>
                  <c:pt idx="11">
                    <c:v>0.05</c:v>
                  </c:pt>
                  <c:pt idx="12">
                    <c:v>0.25</c:v>
                  </c:pt>
                  <c:pt idx="13">
                    <c:v>0.15</c:v>
                  </c:pt>
                  <c:pt idx="14">
                    <c:v>0.26</c:v>
                  </c:pt>
                  <c:pt idx="15">
                    <c:v>0.22</c:v>
                  </c:pt>
                  <c:pt idx="16">
                    <c:v>0.19</c:v>
                  </c:pt>
                  <c:pt idx="17">
                    <c:v>0.26</c:v>
                  </c:pt>
                  <c:pt idx="18">
                    <c:v>0.12</c:v>
                  </c:pt>
                  <c:pt idx="19">
                    <c:v>0.28</c:v>
                  </c:pt>
                  <c:pt idx="20">
                    <c:v>0.04</c:v>
                  </c:pt>
                  <c:pt idx="21">
                    <c:v>0.04</c:v>
                  </c:pt>
                  <c:pt idx="22">
                    <c:v>0.04</c:v>
                  </c:pt>
                  <c:pt idx="23">
                    <c:v>0.15</c:v>
                  </c:pt>
                  <c:pt idx="24">
                    <c:v>0.28</c:v>
                  </c:pt>
                  <c:pt idx="25">
                    <c:v>0.2</c:v>
                  </c:pt>
                  <c:pt idx="26">
                    <c:v>0.11</c:v>
                  </c:pt>
                  <c:pt idx="27">
                    <c:v>0.05</c:v>
                  </c:pt>
                  <c:pt idx="28">
                    <c:v>0.11</c:v>
                  </c:pt>
                  <c:pt idx="29">
                    <c:v>0.01</c:v>
                  </c:pt>
                </c:lvl>
                <c:lvl>
                  <c:pt idx="0">
                    <c:v>801.66</c:v>
                  </c:pt>
                  <c:pt idx="1">
                    <c:v>225.03</c:v>
                  </c:pt>
                  <c:pt idx="2">
                    <c:v>544.99</c:v>
                  </c:pt>
                  <c:pt idx="3">
                    <c:v>157.02</c:v>
                  </c:pt>
                  <c:pt idx="4">
                    <c:v>155.51</c:v>
                  </c:pt>
                  <c:pt idx="5">
                    <c:v>225.65</c:v>
                  </c:pt>
                  <c:pt idx="6">
                    <c:v>631.96</c:v>
                  </c:pt>
                  <c:pt idx="7">
                    <c:v>522.87</c:v>
                  </c:pt>
                  <c:pt idx="8">
                    <c:v>202.66</c:v>
                  </c:pt>
                  <c:pt idx="9">
                    <c:v>401.52</c:v>
                  </c:pt>
                  <c:pt idx="10">
                    <c:v>346.31</c:v>
                  </c:pt>
                  <c:pt idx="11">
                    <c:v>434.15</c:v>
                  </c:pt>
                  <c:pt idx="12">
                    <c:v>189.87</c:v>
                  </c:pt>
                  <c:pt idx="13">
                    <c:v>559.1</c:v>
                  </c:pt>
                  <c:pt idx="14">
                    <c:v>29.01</c:v>
                  </c:pt>
                  <c:pt idx="15">
                    <c:v>541.5</c:v>
                  </c:pt>
                  <c:pt idx="16">
                    <c:v>218.68</c:v>
                  </c:pt>
                  <c:pt idx="17">
                    <c:v>439.07</c:v>
                  </c:pt>
                  <c:pt idx="18">
                    <c:v>849.82</c:v>
                  </c:pt>
                  <c:pt idx="19">
                    <c:v>886.69</c:v>
                  </c:pt>
                  <c:pt idx="20">
                    <c:v>137.79</c:v>
                  </c:pt>
                  <c:pt idx="21">
                    <c:v>6.58</c:v>
                  </c:pt>
                  <c:pt idx="22">
                    <c:v>888.2</c:v>
                  </c:pt>
                  <c:pt idx="23">
                    <c:v>109.35</c:v>
                  </c:pt>
                  <c:pt idx="24">
                    <c:v>144.08</c:v>
                  </c:pt>
                  <c:pt idx="25">
                    <c:v>576.59</c:v>
                  </c:pt>
                  <c:pt idx="26">
                    <c:v>954.41</c:v>
                  </c:pt>
                  <c:pt idx="27">
                    <c:v>513.82</c:v>
                  </c:pt>
                  <c:pt idx="28">
                    <c:v>767.89</c:v>
                  </c:pt>
                  <c:pt idx="29">
                    <c:v>653.79</c:v>
                  </c:pt>
                </c:lvl>
                <c:lvl>
                  <c:pt idx="0">
                    <c:v>Cash on Delivery</c:v>
                  </c:pt>
                  <c:pt idx="1">
                    <c:v>Debit Card</c:v>
                  </c:pt>
                  <c:pt idx="2">
                    <c:v>Debit Card</c:v>
                  </c:pt>
                  <c:pt idx="3">
                    <c:v>Bank Transfer</c:v>
                  </c:pt>
                  <c:pt idx="4">
                    <c:v>Debit Card</c:v>
                  </c:pt>
                  <c:pt idx="5">
                    <c:v>Bank Transfer</c:v>
                  </c:pt>
                  <c:pt idx="6">
                    <c:v>Credit Card</c:v>
                  </c:pt>
                  <c:pt idx="7">
                    <c:v>Cash on Delivery</c:v>
                  </c:pt>
                  <c:pt idx="8">
                    <c:v>Cash on Delivery</c:v>
                  </c:pt>
                  <c:pt idx="9">
                    <c:v>Cash on Delivery</c:v>
                  </c:pt>
                  <c:pt idx="10">
                    <c:v>Cash on Delivery</c:v>
                  </c:pt>
                  <c:pt idx="11">
                    <c:v>Bank Transfer</c:v>
                  </c:pt>
                  <c:pt idx="12">
                    <c:v>Credit Card</c:v>
                  </c:pt>
                  <c:pt idx="13">
                    <c:v>Debit Card</c:v>
                  </c:pt>
                  <c:pt idx="14">
                    <c:v>Cash on Delivery</c:v>
                  </c:pt>
                  <c:pt idx="15">
                    <c:v>Bank Transfer</c:v>
                  </c:pt>
                  <c:pt idx="16">
                    <c:v>Credit Card</c:v>
                  </c:pt>
                  <c:pt idx="17">
                    <c:v>PayPal</c:v>
                  </c:pt>
                  <c:pt idx="18">
                    <c:v>Cash on Delivery</c:v>
                  </c:pt>
                  <c:pt idx="19">
                    <c:v>Debit Card</c:v>
                  </c:pt>
                  <c:pt idx="20">
                    <c:v>Credit Card</c:v>
                  </c:pt>
                  <c:pt idx="21">
                    <c:v>PayPal</c:v>
                  </c:pt>
                  <c:pt idx="22">
                    <c:v>Cash on Delivery</c:v>
                  </c:pt>
                  <c:pt idx="23">
                    <c:v>Debit Card</c:v>
                  </c:pt>
                  <c:pt idx="24">
                    <c:v>Cash on Delivery</c:v>
                  </c:pt>
                  <c:pt idx="25">
                    <c:v>Bank Transfer</c:v>
                  </c:pt>
                  <c:pt idx="26">
                    <c:v>PayPal</c:v>
                  </c:pt>
                  <c:pt idx="27">
                    <c:v>Credit Card</c:v>
                  </c:pt>
                  <c:pt idx="28">
                    <c:v>Credit Card</c:v>
                  </c:pt>
                  <c:pt idx="29">
                    <c:v>Cash on Delivery</c:v>
                  </c:pt>
                </c:lvl>
                <c:lvl>
                  <c:pt idx="0">
                    <c:v>Clothing</c:v>
                  </c:pt>
                  <c:pt idx="1">
                    <c:v>Beauty</c:v>
                  </c:pt>
                  <c:pt idx="2">
                    <c:v>Toys</c:v>
                  </c:pt>
                  <c:pt idx="3">
                    <c:v>Beauty</c:v>
                  </c:pt>
                  <c:pt idx="4">
                    <c:v>Electronics</c:v>
                  </c:pt>
                  <c:pt idx="5">
                    <c:v>Books</c:v>
                  </c:pt>
                  <c:pt idx="6">
                    <c:v>Beauty</c:v>
                  </c:pt>
                  <c:pt idx="7">
                    <c:v>Sports</c:v>
                  </c:pt>
                  <c:pt idx="8">
                    <c:v>Books</c:v>
                  </c:pt>
                  <c:pt idx="9">
                    <c:v>Toys</c:v>
                  </c:pt>
                  <c:pt idx="10">
                    <c:v>Clothing</c:v>
                  </c:pt>
                  <c:pt idx="11">
                    <c:v>Sports</c:v>
                  </c:pt>
                  <c:pt idx="12">
                    <c:v>Electronics</c:v>
                  </c:pt>
                  <c:pt idx="13">
                    <c:v>Home &amp; Kitchen</c:v>
                  </c:pt>
                  <c:pt idx="14">
                    <c:v>Toys</c:v>
                  </c:pt>
                  <c:pt idx="15">
                    <c:v>Toys</c:v>
                  </c:pt>
                  <c:pt idx="16">
                    <c:v>Beauty</c:v>
                  </c:pt>
                  <c:pt idx="17">
                    <c:v>Clothing</c:v>
                  </c:pt>
                  <c:pt idx="18">
                    <c:v>Books</c:v>
                  </c:pt>
                  <c:pt idx="19">
                    <c:v>Electronics</c:v>
                  </c:pt>
                  <c:pt idx="20">
                    <c:v>Toys</c:v>
                  </c:pt>
                  <c:pt idx="21">
                    <c:v>Electronics</c:v>
                  </c:pt>
                  <c:pt idx="22">
                    <c:v>Toys</c:v>
                  </c:pt>
                  <c:pt idx="23">
                    <c:v>Toys</c:v>
                  </c:pt>
                  <c:pt idx="24">
                    <c:v>Electronics</c:v>
                  </c:pt>
                  <c:pt idx="25">
                    <c:v>Sports</c:v>
                  </c:pt>
                  <c:pt idx="26">
                    <c:v>Electronics</c:v>
                  </c:pt>
                  <c:pt idx="27">
                    <c:v>Home &amp; Kitchen</c:v>
                  </c:pt>
                  <c:pt idx="28">
                    <c:v>Sports</c:v>
                  </c:pt>
                  <c:pt idx="29">
                    <c:v>Beauty</c:v>
                  </c:pt>
                </c:lvl>
                <c:lvl>
                  <c:pt idx="0">
                    <c:v>295</c:v>
                  </c:pt>
                  <c:pt idx="1">
                    <c:v>546</c:v>
                  </c:pt>
                  <c:pt idx="2">
                    <c:v>430</c:v>
                  </c:pt>
                  <c:pt idx="3">
                    <c:v>807</c:v>
                  </c:pt>
                  <c:pt idx="4">
                    <c:v>319</c:v>
                  </c:pt>
                  <c:pt idx="5">
                    <c:v>282</c:v>
                  </c:pt>
                  <c:pt idx="6">
                    <c:v>276</c:v>
                  </c:pt>
                  <c:pt idx="7">
                    <c:v>574</c:v>
                  </c:pt>
                  <c:pt idx="8">
                    <c:v>948</c:v>
                  </c:pt>
                  <c:pt idx="9">
                    <c:v>459</c:v>
                  </c:pt>
                  <c:pt idx="10">
                    <c:v>745</c:v>
                  </c:pt>
                  <c:pt idx="11">
                    <c:v>564</c:v>
                  </c:pt>
                  <c:pt idx="12">
                    <c:v>334</c:v>
                  </c:pt>
                  <c:pt idx="13">
                    <c:v>536</c:v>
                  </c:pt>
                  <c:pt idx="14">
                    <c:v>239</c:v>
                  </c:pt>
                  <c:pt idx="15">
                    <c:v>587</c:v>
                  </c:pt>
                  <c:pt idx="16">
                    <c:v>868</c:v>
                  </c:pt>
                  <c:pt idx="17">
                    <c:v>384</c:v>
                  </c:pt>
                  <c:pt idx="18">
                    <c:v>701</c:v>
                  </c:pt>
                  <c:pt idx="19">
                    <c:v>427</c:v>
                  </c:pt>
                  <c:pt idx="20">
                    <c:v>150</c:v>
                  </c:pt>
                  <c:pt idx="21">
                    <c:v>797</c:v>
                  </c:pt>
                  <c:pt idx="22">
                    <c:v>577</c:v>
                  </c:pt>
                  <c:pt idx="23">
                    <c:v>385</c:v>
                  </c:pt>
                  <c:pt idx="24">
                    <c:v>419</c:v>
                  </c:pt>
                  <c:pt idx="25">
                    <c:v>733</c:v>
                  </c:pt>
                  <c:pt idx="26">
                    <c:v>278</c:v>
                  </c:pt>
                  <c:pt idx="27">
                    <c:v>231</c:v>
                  </c:pt>
                  <c:pt idx="28">
                    <c:v>699</c:v>
                  </c:pt>
                  <c:pt idx="29">
                    <c:v>829</c:v>
                  </c:pt>
                </c:lvl>
                <c:lvl>
                  <c:pt idx="0">
                    <c:v>8270</c:v>
                  </c:pt>
                  <c:pt idx="1">
                    <c:v>1860</c:v>
                  </c:pt>
                  <c:pt idx="2">
                    <c:v>6390</c:v>
                  </c:pt>
                  <c:pt idx="3">
                    <c:v>6191</c:v>
                  </c:pt>
                  <c:pt idx="4">
                    <c:v>6734</c:v>
                  </c:pt>
                  <c:pt idx="5">
                    <c:v>7265</c:v>
                  </c:pt>
                  <c:pt idx="6">
                    <c:v>1466</c:v>
                  </c:pt>
                  <c:pt idx="7">
                    <c:v>5426</c:v>
                  </c:pt>
                  <c:pt idx="8">
                    <c:v>6578</c:v>
                  </c:pt>
                  <c:pt idx="9">
                    <c:v>9322</c:v>
                  </c:pt>
                  <c:pt idx="10">
                    <c:v>2685</c:v>
                  </c:pt>
                  <c:pt idx="11">
                    <c:v>1769</c:v>
                  </c:pt>
                  <c:pt idx="12">
                    <c:v>7949</c:v>
                  </c:pt>
                  <c:pt idx="13">
                    <c:v>3433</c:v>
                  </c:pt>
                  <c:pt idx="14">
                    <c:v>6311</c:v>
                  </c:pt>
                  <c:pt idx="15">
                    <c:v>6051</c:v>
                  </c:pt>
                  <c:pt idx="16">
                    <c:v>7420</c:v>
                  </c:pt>
                  <c:pt idx="17">
                    <c:v>2184</c:v>
                  </c:pt>
                  <c:pt idx="18">
                    <c:v>5555</c:v>
                  </c:pt>
                  <c:pt idx="19">
                    <c:v>4385</c:v>
                  </c:pt>
                  <c:pt idx="20">
                    <c:v>7396</c:v>
                  </c:pt>
                  <c:pt idx="21">
                    <c:v>9666</c:v>
                  </c:pt>
                  <c:pt idx="22">
                    <c:v>3558</c:v>
                  </c:pt>
                  <c:pt idx="23">
                    <c:v>8849</c:v>
                  </c:pt>
                  <c:pt idx="24">
                    <c:v>3047</c:v>
                  </c:pt>
                  <c:pt idx="25">
                    <c:v>3747</c:v>
                  </c:pt>
                  <c:pt idx="26">
                    <c:v>1189</c:v>
                  </c:pt>
                  <c:pt idx="27">
                    <c:v>3734</c:v>
                  </c:pt>
                  <c:pt idx="28">
                    <c:v>4005</c:v>
                  </c:pt>
                  <c:pt idx="29">
                    <c:v>5658</c:v>
                  </c:pt>
                </c:lvl>
                <c:lvl>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lvl>
              </c:multiLvlStrCache>
            </c:multiLvlStrRef>
          </c:cat>
          <c:val>
            <c:numRef>
              <c:f>ecommerce_sales_data!$N$2:$N$31</c:f>
              <c:numCache>
                <c:formatCode>General</c:formatCode>
                <c:ptCount val="30"/>
                <c:pt idx="0">
                  <c:v>83.36</c:v>
                </c:pt>
                <c:pt idx="1">
                  <c:v>58.88</c:v>
                </c:pt>
                <c:pt idx="2">
                  <c:v>53.99</c:v>
                </c:pt>
                <c:pt idx="3">
                  <c:v>11.73</c:v>
                </c:pt>
                <c:pt idx="4">
                  <c:v>34.79</c:v>
                </c:pt>
                <c:pt idx="5">
                  <c:v>25.78</c:v>
                </c:pt>
                <c:pt idx="6">
                  <c:v>68.36</c:v>
                </c:pt>
                <c:pt idx="7">
                  <c:v>19.23</c:v>
                </c:pt>
                <c:pt idx="8">
                  <c:v>28.61</c:v>
                </c:pt>
                <c:pt idx="9">
                  <c:v>35.18</c:v>
                </c:pt>
                <c:pt idx="10">
                  <c:v>76.819999999999993</c:v>
                </c:pt>
                <c:pt idx="11">
                  <c:v>26.24</c:v>
                </c:pt>
                <c:pt idx="12">
                  <c:v>39.909999999999997</c:v>
                </c:pt>
                <c:pt idx="13">
                  <c:v>69.39</c:v>
                </c:pt>
                <c:pt idx="14">
                  <c:v>10.33</c:v>
                </c:pt>
                <c:pt idx="15">
                  <c:v>41.77</c:v>
                </c:pt>
                <c:pt idx="16">
                  <c:v>9.93</c:v>
                </c:pt>
                <c:pt idx="17">
                  <c:v>97.73</c:v>
                </c:pt>
                <c:pt idx="18">
                  <c:v>54.32</c:v>
                </c:pt>
                <c:pt idx="19">
                  <c:v>57.35</c:v>
                </c:pt>
                <c:pt idx="20">
                  <c:v>41.08</c:v>
                </c:pt>
                <c:pt idx="21">
                  <c:v>88.02</c:v>
                </c:pt>
                <c:pt idx="22">
                  <c:v>67.510000000000005</c:v>
                </c:pt>
                <c:pt idx="23">
                  <c:v>18.760000000000002</c:v>
                </c:pt>
                <c:pt idx="24">
                  <c:v>33.4</c:v>
                </c:pt>
                <c:pt idx="25">
                  <c:v>21.91</c:v>
                </c:pt>
                <c:pt idx="26">
                  <c:v>81.489999999999995</c:v>
                </c:pt>
                <c:pt idx="27">
                  <c:v>77.27</c:v>
                </c:pt>
                <c:pt idx="28">
                  <c:v>26.78</c:v>
                </c:pt>
                <c:pt idx="29">
                  <c:v>39.340000000000003</c:v>
                </c:pt>
              </c:numCache>
            </c:numRef>
          </c:val>
          <c:extLst>
            <c:ext xmlns:c16="http://schemas.microsoft.com/office/drawing/2014/chart" uri="{C3380CC4-5D6E-409C-BE32-E72D297353CC}">
              <c16:uniqueId val="{00000000-4866-428E-9269-5D45CDDB353A}"/>
            </c:ext>
          </c:extLst>
        </c:ser>
        <c:dLbls>
          <c:dLblPos val="bestFit"/>
          <c:showLegendKey val="0"/>
          <c:showVal val="1"/>
          <c:showCatName val="0"/>
          <c:showSerName val="0"/>
          <c:showPercent val="0"/>
          <c:showBubbleSize val="0"/>
          <c:showLeaderLines val="1"/>
        </c:dLbls>
        <c:firstSliceAng val="0"/>
        <c:extLst>
          <c:ext xmlns:c15="http://schemas.microsoft.com/office/drawing/2012/chart" uri="{02D57815-91ED-43cb-92C2-25804820EDAC}">
            <c15:filteredPieSeries>
              <c15:ser>
                <c:idx val="1"/>
                <c:order val="1"/>
                <c:tx>
                  <c:strRef>
                    <c:extLst>
                      <c:ext uri="{02D57815-91ED-43cb-92C2-25804820EDAC}">
                        <c15:formulaRef>
                          <c15:sqref>ecommerce_sales_data!$O$1</c15:sqref>
                        </c15:formulaRef>
                      </c:ext>
                    </c:extLst>
                    <c:strCache>
                      <c:ptCount val="1"/>
                      <c:pt idx="0">
                        <c:v>Quantity</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Pt>
                  <c:idx val="18"/>
                  <c:bubble3D val="0"/>
                  <c:spPr>
                    <a:solidFill>
                      <a:schemeClr val="accent1">
                        <a:lumMod val="80000"/>
                      </a:schemeClr>
                    </a:solidFill>
                    <a:ln w="19050">
                      <a:solidFill>
                        <a:schemeClr val="lt1"/>
                      </a:solidFill>
                    </a:ln>
                    <a:effectLst/>
                  </c:spPr>
                </c:dPt>
                <c:dPt>
                  <c:idx val="19"/>
                  <c:bubble3D val="0"/>
                  <c:spPr>
                    <a:solidFill>
                      <a:schemeClr val="accent2">
                        <a:lumMod val="80000"/>
                      </a:schemeClr>
                    </a:solidFill>
                    <a:ln w="19050">
                      <a:solidFill>
                        <a:schemeClr val="lt1"/>
                      </a:solidFill>
                    </a:ln>
                    <a:effectLst/>
                  </c:spPr>
                </c:dPt>
                <c:dPt>
                  <c:idx val="20"/>
                  <c:bubble3D val="0"/>
                  <c:spPr>
                    <a:solidFill>
                      <a:schemeClr val="accent3">
                        <a:lumMod val="80000"/>
                      </a:schemeClr>
                    </a:solidFill>
                    <a:ln w="19050">
                      <a:solidFill>
                        <a:schemeClr val="lt1"/>
                      </a:solidFill>
                    </a:ln>
                    <a:effectLst/>
                  </c:spPr>
                </c:dPt>
                <c:dPt>
                  <c:idx val="21"/>
                  <c:bubble3D val="0"/>
                  <c:spPr>
                    <a:solidFill>
                      <a:schemeClr val="accent4">
                        <a:lumMod val="80000"/>
                      </a:schemeClr>
                    </a:solidFill>
                    <a:ln w="19050">
                      <a:solidFill>
                        <a:schemeClr val="lt1"/>
                      </a:solidFill>
                    </a:ln>
                    <a:effectLst/>
                  </c:spPr>
                </c:dPt>
                <c:dPt>
                  <c:idx val="22"/>
                  <c:bubble3D val="0"/>
                  <c:spPr>
                    <a:solidFill>
                      <a:schemeClr val="accent5">
                        <a:lumMod val="80000"/>
                      </a:schemeClr>
                    </a:solidFill>
                    <a:ln w="19050">
                      <a:solidFill>
                        <a:schemeClr val="lt1"/>
                      </a:solidFill>
                    </a:ln>
                    <a:effectLst/>
                  </c:spPr>
                </c:dPt>
                <c:dPt>
                  <c:idx val="23"/>
                  <c:bubble3D val="0"/>
                  <c:spPr>
                    <a:solidFill>
                      <a:schemeClr val="accent6">
                        <a:lumMod val="80000"/>
                      </a:schemeClr>
                    </a:solidFill>
                    <a:ln w="19050">
                      <a:solidFill>
                        <a:schemeClr val="lt1"/>
                      </a:solidFill>
                    </a:ln>
                    <a:effectLst/>
                  </c:spPr>
                </c:dPt>
                <c:dPt>
                  <c:idx val="24"/>
                  <c:bubble3D val="0"/>
                  <c:spPr>
                    <a:solidFill>
                      <a:schemeClr val="accent1">
                        <a:lumMod val="60000"/>
                        <a:lumOff val="40000"/>
                      </a:schemeClr>
                    </a:solidFill>
                    <a:ln w="19050">
                      <a:solidFill>
                        <a:schemeClr val="lt1"/>
                      </a:solidFill>
                    </a:ln>
                    <a:effectLst/>
                  </c:spPr>
                </c:dPt>
                <c:dPt>
                  <c:idx val="25"/>
                  <c:bubble3D val="0"/>
                  <c:spPr>
                    <a:solidFill>
                      <a:schemeClr val="accent2">
                        <a:lumMod val="60000"/>
                        <a:lumOff val="40000"/>
                      </a:schemeClr>
                    </a:solidFill>
                    <a:ln w="19050">
                      <a:solidFill>
                        <a:schemeClr val="lt1"/>
                      </a:solidFill>
                    </a:ln>
                    <a:effectLst/>
                  </c:spPr>
                </c:dPt>
                <c:dPt>
                  <c:idx val="26"/>
                  <c:bubble3D val="0"/>
                  <c:spPr>
                    <a:solidFill>
                      <a:schemeClr val="accent3">
                        <a:lumMod val="60000"/>
                        <a:lumOff val="40000"/>
                      </a:schemeClr>
                    </a:solidFill>
                    <a:ln w="19050">
                      <a:solidFill>
                        <a:schemeClr val="lt1"/>
                      </a:solidFill>
                    </a:ln>
                    <a:effectLst/>
                  </c:spPr>
                </c:dPt>
                <c:dPt>
                  <c:idx val="27"/>
                  <c:bubble3D val="0"/>
                  <c:spPr>
                    <a:solidFill>
                      <a:schemeClr val="accent4">
                        <a:lumMod val="60000"/>
                        <a:lumOff val="40000"/>
                      </a:schemeClr>
                    </a:solidFill>
                    <a:ln w="19050">
                      <a:solidFill>
                        <a:schemeClr val="lt1"/>
                      </a:solidFill>
                    </a:ln>
                    <a:effectLst/>
                  </c:spPr>
                </c:dPt>
                <c:dPt>
                  <c:idx val="28"/>
                  <c:bubble3D val="0"/>
                  <c:spPr>
                    <a:solidFill>
                      <a:schemeClr val="accent5">
                        <a:lumMod val="60000"/>
                        <a:lumOff val="40000"/>
                      </a:schemeClr>
                    </a:solidFill>
                    <a:ln w="19050">
                      <a:solidFill>
                        <a:schemeClr val="lt1"/>
                      </a:solidFill>
                    </a:ln>
                    <a:effectLst/>
                  </c:spPr>
                </c:dPt>
                <c:dPt>
                  <c:idx val="29"/>
                  <c:bubble3D val="0"/>
                  <c:spPr>
                    <a:solidFill>
                      <a:schemeClr val="accent6">
                        <a:lumMod val="60000"/>
                        <a:lumOff val="40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uri="{CE6537A1-D6FC-4f65-9D91-7224C49458BB}"/>
                  </c:extLst>
                </c:dLbls>
                <c:cat>
                  <c:multiLvlStrRef>
                    <c:extLst>
                      <c:ext uri="{02D57815-91ED-43cb-92C2-25804820EDAC}">
                        <c15:formulaRef>
                          <c15:sqref>ecommerce_sales_data!$A$2:$M$31</c15:sqref>
                        </c15:formulaRef>
                      </c:ext>
                    </c:extLst>
                    <c:multiLvlStrCache>
                      <c:ptCount val="30"/>
                      <c:lvl>
                        <c:pt idx="0">
                          <c:v>Medium</c:v>
                        </c:pt>
                        <c:pt idx="1">
                          <c:v>High</c:v>
                        </c:pt>
                        <c:pt idx="2">
                          <c:v>High</c:v>
                        </c:pt>
                        <c:pt idx="3">
                          <c:v>Low</c:v>
                        </c:pt>
                        <c:pt idx="4">
                          <c:v>High</c:v>
                        </c:pt>
                        <c:pt idx="5">
                          <c:v>High</c:v>
                        </c:pt>
                        <c:pt idx="6">
                          <c:v>Low</c:v>
                        </c:pt>
                        <c:pt idx="7">
                          <c:v>High</c:v>
                        </c:pt>
                        <c:pt idx="8">
                          <c:v>Low</c:v>
                        </c:pt>
                        <c:pt idx="9">
                          <c:v>Low</c:v>
                        </c:pt>
                        <c:pt idx="10">
                          <c:v>Low</c:v>
                        </c:pt>
                        <c:pt idx="11">
                          <c:v>High</c:v>
                        </c:pt>
                        <c:pt idx="12">
                          <c:v>Low</c:v>
                        </c:pt>
                        <c:pt idx="13">
                          <c:v>Low</c:v>
                        </c:pt>
                        <c:pt idx="14">
                          <c:v>High</c:v>
                        </c:pt>
                        <c:pt idx="15">
                          <c:v>Low</c:v>
                        </c:pt>
                        <c:pt idx="16">
                          <c:v>Medium</c:v>
                        </c:pt>
                        <c:pt idx="17">
                          <c:v>Medium</c:v>
                        </c:pt>
                        <c:pt idx="18">
                          <c:v>Low</c:v>
                        </c:pt>
                        <c:pt idx="19">
                          <c:v>Low</c:v>
                        </c:pt>
                        <c:pt idx="20">
                          <c:v>Medium</c:v>
                        </c:pt>
                        <c:pt idx="21">
                          <c:v>Medium</c:v>
                        </c:pt>
                        <c:pt idx="22">
                          <c:v>Medium</c:v>
                        </c:pt>
                        <c:pt idx="23">
                          <c:v>High</c:v>
                        </c:pt>
                        <c:pt idx="24">
                          <c:v>High</c:v>
                        </c:pt>
                        <c:pt idx="25">
                          <c:v>Low</c:v>
                        </c:pt>
                        <c:pt idx="26">
                          <c:v>Low</c:v>
                        </c:pt>
                        <c:pt idx="27">
                          <c:v>Low</c:v>
                        </c:pt>
                        <c:pt idx="28">
                          <c:v>High</c:v>
                        </c:pt>
                        <c:pt idx="29">
                          <c:v>Low</c:v>
                        </c:pt>
                      </c:lvl>
                      <c:lvl>
                        <c:pt idx="0">
                          <c:v>Female</c:v>
                        </c:pt>
                        <c:pt idx="1">
                          <c:v>Other</c:v>
                        </c:pt>
                        <c:pt idx="2">
                          <c:v>Female</c:v>
                        </c:pt>
                        <c:pt idx="3">
                          <c:v>Female</c:v>
                        </c:pt>
                        <c:pt idx="4">
                          <c:v>Other</c:v>
                        </c:pt>
                        <c:pt idx="5">
                          <c:v>Male</c:v>
                        </c:pt>
                        <c:pt idx="6">
                          <c:v>Male</c:v>
                        </c:pt>
                        <c:pt idx="7">
                          <c:v>Female</c:v>
                        </c:pt>
                        <c:pt idx="8">
                          <c:v>Male</c:v>
                        </c:pt>
                        <c:pt idx="9">
                          <c:v>Female</c:v>
                        </c:pt>
                        <c:pt idx="10">
                          <c:v>Other</c:v>
                        </c:pt>
                        <c:pt idx="11">
                          <c:v>Other</c:v>
                        </c:pt>
                        <c:pt idx="12">
                          <c:v>Other</c:v>
                        </c:pt>
                        <c:pt idx="13">
                          <c:v>Male</c:v>
                        </c:pt>
                        <c:pt idx="14">
                          <c:v>Other</c:v>
                        </c:pt>
                        <c:pt idx="15">
                          <c:v>Other</c:v>
                        </c:pt>
                        <c:pt idx="16">
                          <c:v>Other</c:v>
                        </c:pt>
                        <c:pt idx="17">
                          <c:v>Other</c:v>
                        </c:pt>
                        <c:pt idx="18">
                          <c:v>Female</c:v>
                        </c:pt>
                        <c:pt idx="19">
                          <c:v>Other</c:v>
                        </c:pt>
                        <c:pt idx="20">
                          <c:v>Male</c:v>
                        </c:pt>
                        <c:pt idx="21">
                          <c:v>Female</c:v>
                        </c:pt>
                        <c:pt idx="22">
                          <c:v>Other</c:v>
                        </c:pt>
                        <c:pt idx="23">
                          <c:v>Female</c:v>
                        </c:pt>
                        <c:pt idx="24">
                          <c:v>Male</c:v>
                        </c:pt>
                        <c:pt idx="25">
                          <c:v>Male</c:v>
                        </c:pt>
                        <c:pt idx="26">
                          <c:v>Male</c:v>
                        </c:pt>
                        <c:pt idx="27">
                          <c:v>Male</c:v>
                        </c:pt>
                        <c:pt idx="28">
                          <c:v>Other</c:v>
                        </c:pt>
                        <c:pt idx="29">
                          <c:v>Female</c:v>
                        </c:pt>
                      </c:lvl>
                      <c:lvl>
                        <c:pt idx="0">
                          <c:v>46</c:v>
                        </c:pt>
                        <c:pt idx="1">
                          <c:v>59</c:v>
                        </c:pt>
                        <c:pt idx="2">
                          <c:v>61</c:v>
                        </c:pt>
                        <c:pt idx="3">
                          <c:v>69</c:v>
                        </c:pt>
                        <c:pt idx="4">
                          <c:v>29</c:v>
                        </c:pt>
                        <c:pt idx="5">
                          <c:v>60</c:v>
                        </c:pt>
                        <c:pt idx="6">
                          <c:v>69</c:v>
                        </c:pt>
                        <c:pt idx="7">
                          <c:v>45</c:v>
                        </c:pt>
                        <c:pt idx="8">
                          <c:v>37</c:v>
                        </c:pt>
                        <c:pt idx="9">
                          <c:v>67</c:v>
                        </c:pt>
                        <c:pt idx="10">
                          <c:v>36</c:v>
                        </c:pt>
                        <c:pt idx="11">
                          <c:v>61</c:v>
                        </c:pt>
                        <c:pt idx="12">
                          <c:v>65</c:v>
                        </c:pt>
                        <c:pt idx="13">
                          <c:v>35</c:v>
                        </c:pt>
                        <c:pt idx="14">
                          <c:v>20</c:v>
                        </c:pt>
                        <c:pt idx="15">
                          <c:v>46</c:v>
                        </c:pt>
                        <c:pt idx="16">
                          <c:v>21</c:v>
                        </c:pt>
                        <c:pt idx="17">
                          <c:v>23</c:v>
                        </c:pt>
                        <c:pt idx="18">
                          <c:v>52</c:v>
                        </c:pt>
                        <c:pt idx="19">
                          <c:v>46</c:v>
                        </c:pt>
                        <c:pt idx="20">
                          <c:v>60</c:v>
                        </c:pt>
                        <c:pt idx="21">
                          <c:v>54</c:v>
                        </c:pt>
                        <c:pt idx="22">
                          <c:v>29</c:v>
                        </c:pt>
                        <c:pt idx="23">
                          <c:v>45</c:v>
                        </c:pt>
                        <c:pt idx="24">
                          <c:v>38</c:v>
                        </c:pt>
                        <c:pt idx="25">
                          <c:v>52</c:v>
                        </c:pt>
                        <c:pt idx="26">
                          <c:v>66</c:v>
                        </c:pt>
                        <c:pt idx="27">
                          <c:v>34</c:v>
                        </c:pt>
                        <c:pt idx="28">
                          <c:v>52</c:v>
                        </c:pt>
                        <c:pt idx="29">
                          <c:v>68</c:v>
                        </c:pt>
                      </c:lvl>
                      <c:lvl>
                        <c:pt idx="0">
                          <c:v>New Juan</c:v>
                        </c:pt>
                        <c:pt idx="1">
                          <c:v>South Julie</c:v>
                        </c:pt>
                        <c:pt idx="2">
                          <c:v>West Carrieview</c:v>
                        </c:pt>
                        <c:pt idx="3">
                          <c:v>Christianberg</c:v>
                        </c:pt>
                        <c:pt idx="4">
                          <c:v>South Williamhaven</c:v>
                        </c:pt>
                        <c:pt idx="5">
                          <c:v>Stephenfort</c:v>
                        </c:pt>
                        <c:pt idx="6">
                          <c:v>North Terristad</c:v>
                        </c:pt>
                        <c:pt idx="7">
                          <c:v>Pachecotown</c:v>
                        </c:pt>
                        <c:pt idx="8">
                          <c:v>Port Philipberg</c:v>
                        </c:pt>
                        <c:pt idx="9">
                          <c:v>Jenniferfurt</c:v>
                        </c:pt>
                        <c:pt idx="10">
                          <c:v>Lake Carolyn</c:v>
                        </c:pt>
                        <c:pt idx="11">
                          <c:v>Amandaborough</c:v>
                        </c:pt>
                        <c:pt idx="12">
                          <c:v>South Maria</c:v>
                        </c:pt>
                        <c:pt idx="13">
                          <c:v>West Marissa</c:v>
                        </c:pt>
                        <c:pt idx="14">
                          <c:v>Austinburgh</c:v>
                        </c:pt>
                        <c:pt idx="15">
                          <c:v>Lake Jesse</c:v>
                        </c:pt>
                        <c:pt idx="16">
                          <c:v>Marioburgh</c:v>
                        </c:pt>
                        <c:pt idx="17">
                          <c:v>Ryanhaven</c:v>
                        </c:pt>
                        <c:pt idx="18">
                          <c:v>Dickersonmouth</c:v>
                        </c:pt>
                        <c:pt idx="19">
                          <c:v>Annaborough</c:v>
                        </c:pt>
                        <c:pt idx="20">
                          <c:v>Ramirezburgh</c:v>
                        </c:pt>
                        <c:pt idx="21">
                          <c:v>Sextonberg</c:v>
                        </c:pt>
                        <c:pt idx="22">
                          <c:v>Beasleyshire</c:v>
                        </c:pt>
                        <c:pt idx="23">
                          <c:v>Lake Brittneyland</c:v>
                        </c:pt>
                        <c:pt idx="24">
                          <c:v>South John</c:v>
                        </c:pt>
                        <c:pt idx="25">
                          <c:v>New Devin</c:v>
                        </c:pt>
                        <c:pt idx="26">
                          <c:v>Lake Denise</c:v>
                        </c:pt>
                        <c:pt idx="27">
                          <c:v>South Susan</c:v>
                        </c:pt>
                        <c:pt idx="28">
                          <c:v>Johnsonchester</c:v>
                        </c:pt>
                        <c:pt idx="29">
                          <c:v>Martinberg</c:v>
                        </c:pt>
                      </c:lvl>
                      <c:lvl>
                        <c:pt idx="0">
                          <c:v>22-12-2023 10:35</c:v>
                        </c:pt>
                        <c:pt idx="1">
                          <c:v>05-05-2024 10:40</c:v>
                        </c:pt>
                        <c:pt idx="2">
                          <c:v>04-12-2023 05:22</c:v>
                        </c:pt>
                        <c:pt idx="3">
                          <c:v>02-01-2024 11:11</c:v>
                        </c:pt>
                        <c:pt idx="4">
                          <c:v>18-06-2024 01:01</c:v>
                        </c:pt>
                        <c:pt idx="5">
                          <c:v>06-03-2024 06:15</c:v>
                        </c:pt>
                        <c:pt idx="6">
                          <c:v>15-10-2023 13:30</c:v>
                        </c:pt>
                        <c:pt idx="7">
                          <c:v>16-05-2024 01:46</c:v>
                        </c:pt>
                        <c:pt idx="8">
                          <c:v>04-08-2024 17:13</c:v>
                        </c:pt>
                        <c:pt idx="9">
                          <c:v>18-12-2023 18:38</c:v>
                        </c:pt>
                        <c:pt idx="10">
                          <c:v>26-05-2024 02:56</c:v>
                        </c:pt>
                        <c:pt idx="11">
                          <c:v>26-09-2023 05:18</c:v>
                        </c:pt>
                        <c:pt idx="12">
                          <c:v>13-12-2023 23:53</c:v>
                        </c:pt>
                        <c:pt idx="13">
                          <c:v>02-12-2023 07:44</c:v>
                        </c:pt>
                        <c:pt idx="14">
                          <c:v>01-03-2024 17:49</c:v>
                        </c:pt>
                        <c:pt idx="15">
                          <c:v>12-08-2024 12:13</c:v>
                        </c:pt>
                        <c:pt idx="16">
                          <c:v>24-07-2024 08:49</c:v>
                        </c:pt>
                        <c:pt idx="17">
                          <c:v>14-06-2024 18:03</c:v>
                        </c:pt>
                        <c:pt idx="18">
                          <c:v>02-03-2024 05:18</c:v>
                        </c:pt>
                        <c:pt idx="19">
                          <c:v>19-05-2024 13:22</c:v>
                        </c:pt>
                        <c:pt idx="20">
                          <c:v>13-05-2024 10:04</c:v>
                        </c:pt>
                        <c:pt idx="21">
                          <c:v>05-04-2024 20:50</c:v>
                        </c:pt>
                        <c:pt idx="22">
                          <c:v>17-11-2023 05:30</c:v>
                        </c:pt>
                        <c:pt idx="23">
                          <c:v>05-08-2024 14:07</c:v>
                        </c:pt>
                        <c:pt idx="24">
                          <c:v>24-02-2024 01:14</c:v>
                        </c:pt>
                        <c:pt idx="25">
                          <c:v>04-03-2024 09:18</c:v>
                        </c:pt>
                        <c:pt idx="26">
                          <c:v>26-10-2023 07:12</c:v>
                        </c:pt>
                        <c:pt idx="27">
                          <c:v>04-08-2024 12:39</c:v>
                        </c:pt>
                        <c:pt idx="28">
                          <c:v>06-05-2024 01:39</c:v>
                        </c:pt>
                        <c:pt idx="29">
                          <c:v>23-10-2023 11:34</c:v>
                        </c:pt>
                      </c:lvl>
                      <c:lvl>
                        <c:pt idx="0">
                          <c:v>0.13</c:v>
                        </c:pt>
                        <c:pt idx="1">
                          <c:v>0.06</c:v>
                        </c:pt>
                        <c:pt idx="2">
                          <c:v>0.24</c:v>
                        </c:pt>
                        <c:pt idx="3">
                          <c:v>0.01</c:v>
                        </c:pt>
                        <c:pt idx="4">
                          <c:v>0.14</c:v>
                        </c:pt>
                        <c:pt idx="5">
                          <c:v>0.18</c:v>
                        </c:pt>
                        <c:pt idx="6">
                          <c:v>0.09</c:v>
                        </c:pt>
                        <c:pt idx="7">
                          <c:v>0.29</c:v>
                        </c:pt>
                        <c:pt idx="8">
                          <c:v>0.12</c:v>
                        </c:pt>
                        <c:pt idx="9">
                          <c:v>0.23</c:v>
                        </c:pt>
                        <c:pt idx="10">
                          <c:v>0.06</c:v>
                        </c:pt>
                        <c:pt idx="11">
                          <c:v>0.05</c:v>
                        </c:pt>
                        <c:pt idx="12">
                          <c:v>0.25</c:v>
                        </c:pt>
                        <c:pt idx="13">
                          <c:v>0.15</c:v>
                        </c:pt>
                        <c:pt idx="14">
                          <c:v>0.26</c:v>
                        </c:pt>
                        <c:pt idx="15">
                          <c:v>0.22</c:v>
                        </c:pt>
                        <c:pt idx="16">
                          <c:v>0.19</c:v>
                        </c:pt>
                        <c:pt idx="17">
                          <c:v>0.26</c:v>
                        </c:pt>
                        <c:pt idx="18">
                          <c:v>0.12</c:v>
                        </c:pt>
                        <c:pt idx="19">
                          <c:v>0.28</c:v>
                        </c:pt>
                        <c:pt idx="20">
                          <c:v>0.04</c:v>
                        </c:pt>
                        <c:pt idx="21">
                          <c:v>0.04</c:v>
                        </c:pt>
                        <c:pt idx="22">
                          <c:v>0.04</c:v>
                        </c:pt>
                        <c:pt idx="23">
                          <c:v>0.15</c:v>
                        </c:pt>
                        <c:pt idx="24">
                          <c:v>0.28</c:v>
                        </c:pt>
                        <c:pt idx="25">
                          <c:v>0.2</c:v>
                        </c:pt>
                        <c:pt idx="26">
                          <c:v>0.11</c:v>
                        </c:pt>
                        <c:pt idx="27">
                          <c:v>0.05</c:v>
                        </c:pt>
                        <c:pt idx="28">
                          <c:v>0.11</c:v>
                        </c:pt>
                        <c:pt idx="29">
                          <c:v>0.01</c:v>
                        </c:pt>
                      </c:lvl>
                      <c:lvl>
                        <c:pt idx="0">
                          <c:v>801.66</c:v>
                        </c:pt>
                        <c:pt idx="1">
                          <c:v>225.03</c:v>
                        </c:pt>
                        <c:pt idx="2">
                          <c:v>544.99</c:v>
                        </c:pt>
                        <c:pt idx="3">
                          <c:v>157.02</c:v>
                        </c:pt>
                        <c:pt idx="4">
                          <c:v>155.51</c:v>
                        </c:pt>
                        <c:pt idx="5">
                          <c:v>225.65</c:v>
                        </c:pt>
                        <c:pt idx="6">
                          <c:v>631.96</c:v>
                        </c:pt>
                        <c:pt idx="7">
                          <c:v>522.87</c:v>
                        </c:pt>
                        <c:pt idx="8">
                          <c:v>202.66</c:v>
                        </c:pt>
                        <c:pt idx="9">
                          <c:v>401.52</c:v>
                        </c:pt>
                        <c:pt idx="10">
                          <c:v>346.31</c:v>
                        </c:pt>
                        <c:pt idx="11">
                          <c:v>434.15</c:v>
                        </c:pt>
                        <c:pt idx="12">
                          <c:v>189.87</c:v>
                        </c:pt>
                        <c:pt idx="13">
                          <c:v>559.1</c:v>
                        </c:pt>
                        <c:pt idx="14">
                          <c:v>29.01</c:v>
                        </c:pt>
                        <c:pt idx="15">
                          <c:v>541.5</c:v>
                        </c:pt>
                        <c:pt idx="16">
                          <c:v>218.68</c:v>
                        </c:pt>
                        <c:pt idx="17">
                          <c:v>439.07</c:v>
                        </c:pt>
                        <c:pt idx="18">
                          <c:v>849.82</c:v>
                        </c:pt>
                        <c:pt idx="19">
                          <c:v>886.69</c:v>
                        </c:pt>
                        <c:pt idx="20">
                          <c:v>137.79</c:v>
                        </c:pt>
                        <c:pt idx="21">
                          <c:v>6.58</c:v>
                        </c:pt>
                        <c:pt idx="22">
                          <c:v>888.2</c:v>
                        </c:pt>
                        <c:pt idx="23">
                          <c:v>109.35</c:v>
                        </c:pt>
                        <c:pt idx="24">
                          <c:v>144.08</c:v>
                        </c:pt>
                        <c:pt idx="25">
                          <c:v>576.59</c:v>
                        </c:pt>
                        <c:pt idx="26">
                          <c:v>954.41</c:v>
                        </c:pt>
                        <c:pt idx="27">
                          <c:v>513.82</c:v>
                        </c:pt>
                        <c:pt idx="28">
                          <c:v>767.89</c:v>
                        </c:pt>
                        <c:pt idx="29">
                          <c:v>653.79</c:v>
                        </c:pt>
                      </c:lvl>
                      <c:lvl>
                        <c:pt idx="0">
                          <c:v>Cash on Delivery</c:v>
                        </c:pt>
                        <c:pt idx="1">
                          <c:v>Debit Card</c:v>
                        </c:pt>
                        <c:pt idx="2">
                          <c:v>Debit Card</c:v>
                        </c:pt>
                        <c:pt idx="3">
                          <c:v>Bank Transfer</c:v>
                        </c:pt>
                        <c:pt idx="4">
                          <c:v>Debit Card</c:v>
                        </c:pt>
                        <c:pt idx="5">
                          <c:v>Bank Transfer</c:v>
                        </c:pt>
                        <c:pt idx="6">
                          <c:v>Credit Card</c:v>
                        </c:pt>
                        <c:pt idx="7">
                          <c:v>Cash on Delivery</c:v>
                        </c:pt>
                        <c:pt idx="8">
                          <c:v>Cash on Delivery</c:v>
                        </c:pt>
                        <c:pt idx="9">
                          <c:v>Cash on Delivery</c:v>
                        </c:pt>
                        <c:pt idx="10">
                          <c:v>Cash on Delivery</c:v>
                        </c:pt>
                        <c:pt idx="11">
                          <c:v>Bank Transfer</c:v>
                        </c:pt>
                        <c:pt idx="12">
                          <c:v>Credit Card</c:v>
                        </c:pt>
                        <c:pt idx="13">
                          <c:v>Debit Card</c:v>
                        </c:pt>
                        <c:pt idx="14">
                          <c:v>Cash on Delivery</c:v>
                        </c:pt>
                        <c:pt idx="15">
                          <c:v>Bank Transfer</c:v>
                        </c:pt>
                        <c:pt idx="16">
                          <c:v>Credit Card</c:v>
                        </c:pt>
                        <c:pt idx="17">
                          <c:v>PayPal</c:v>
                        </c:pt>
                        <c:pt idx="18">
                          <c:v>Cash on Delivery</c:v>
                        </c:pt>
                        <c:pt idx="19">
                          <c:v>Debit Card</c:v>
                        </c:pt>
                        <c:pt idx="20">
                          <c:v>Credit Card</c:v>
                        </c:pt>
                        <c:pt idx="21">
                          <c:v>PayPal</c:v>
                        </c:pt>
                        <c:pt idx="22">
                          <c:v>Cash on Delivery</c:v>
                        </c:pt>
                        <c:pt idx="23">
                          <c:v>Debit Card</c:v>
                        </c:pt>
                        <c:pt idx="24">
                          <c:v>Cash on Delivery</c:v>
                        </c:pt>
                        <c:pt idx="25">
                          <c:v>Bank Transfer</c:v>
                        </c:pt>
                        <c:pt idx="26">
                          <c:v>PayPal</c:v>
                        </c:pt>
                        <c:pt idx="27">
                          <c:v>Credit Card</c:v>
                        </c:pt>
                        <c:pt idx="28">
                          <c:v>Credit Card</c:v>
                        </c:pt>
                        <c:pt idx="29">
                          <c:v>Cash on Delivery</c:v>
                        </c:pt>
                      </c:lvl>
                      <c:lvl>
                        <c:pt idx="0">
                          <c:v>Clothing</c:v>
                        </c:pt>
                        <c:pt idx="1">
                          <c:v>Beauty</c:v>
                        </c:pt>
                        <c:pt idx="2">
                          <c:v>Toys</c:v>
                        </c:pt>
                        <c:pt idx="3">
                          <c:v>Beauty</c:v>
                        </c:pt>
                        <c:pt idx="4">
                          <c:v>Electronics</c:v>
                        </c:pt>
                        <c:pt idx="5">
                          <c:v>Books</c:v>
                        </c:pt>
                        <c:pt idx="6">
                          <c:v>Beauty</c:v>
                        </c:pt>
                        <c:pt idx="7">
                          <c:v>Sports</c:v>
                        </c:pt>
                        <c:pt idx="8">
                          <c:v>Books</c:v>
                        </c:pt>
                        <c:pt idx="9">
                          <c:v>Toys</c:v>
                        </c:pt>
                        <c:pt idx="10">
                          <c:v>Clothing</c:v>
                        </c:pt>
                        <c:pt idx="11">
                          <c:v>Sports</c:v>
                        </c:pt>
                        <c:pt idx="12">
                          <c:v>Electronics</c:v>
                        </c:pt>
                        <c:pt idx="13">
                          <c:v>Home &amp; Kitchen</c:v>
                        </c:pt>
                        <c:pt idx="14">
                          <c:v>Toys</c:v>
                        </c:pt>
                        <c:pt idx="15">
                          <c:v>Toys</c:v>
                        </c:pt>
                        <c:pt idx="16">
                          <c:v>Beauty</c:v>
                        </c:pt>
                        <c:pt idx="17">
                          <c:v>Clothing</c:v>
                        </c:pt>
                        <c:pt idx="18">
                          <c:v>Books</c:v>
                        </c:pt>
                        <c:pt idx="19">
                          <c:v>Electronics</c:v>
                        </c:pt>
                        <c:pt idx="20">
                          <c:v>Toys</c:v>
                        </c:pt>
                        <c:pt idx="21">
                          <c:v>Electronics</c:v>
                        </c:pt>
                        <c:pt idx="22">
                          <c:v>Toys</c:v>
                        </c:pt>
                        <c:pt idx="23">
                          <c:v>Toys</c:v>
                        </c:pt>
                        <c:pt idx="24">
                          <c:v>Electronics</c:v>
                        </c:pt>
                        <c:pt idx="25">
                          <c:v>Sports</c:v>
                        </c:pt>
                        <c:pt idx="26">
                          <c:v>Electronics</c:v>
                        </c:pt>
                        <c:pt idx="27">
                          <c:v>Home &amp; Kitchen</c:v>
                        </c:pt>
                        <c:pt idx="28">
                          <c:v>Sports</c:v>
                        </c:pt>
                        <c:pt idx="29">
                          <c:v>Beauty</c:v>
                        </c:pt>
                      </c:lvl>
                      <c:lvl>
                        <c:pt idx="0">
                          <c:v>295</c:v>
                        </c:pt>
                        <c:pt idx="1">
                          <c:v>546</c:v>
                        </c:pt>
                        <c:pt idx="2">
                          <c:v>430</c:v>
                        </c:pt>
                        <c:pt idx="3">
                          <c:v>807</c:v>
                        </c:pt>
                        <c:pt idx="4">
                          <c:v>319</c:v>
                        </c:pt>
                        <c:pt idx="5">
                          <c:v>282</c:v>
                        </c:pt>
                        <c:pt idx="6">
                          <c:v>276</c:v>
                        </c:pt>
                        <c:pt idx="7">
                          <c:v>574</c:v>
                        </c:pt>
                        <c:pt idx="8">
                          <c:v>948</c:v>
                        </c:pt>
                        <c:pt idx="9">
                          <c:v>459</c:v>
                        </c:pt>
                        <c:pt idx="10">
                          <c:v>745</c:v>
                        </c:pt>
                        <c:pt idx="11">
                          <c:v>564</c:v>
                        </c:pt>
                        <c:pt idx="12">
                          <c:v>334</c:v>
                        </c:pt>
                        <c:pt idx="13">
                          <c:v>536</c:v>
                        </c:pt>
                        <c:pt idx="14">
                          <c:v>239</c:v>
                        </c:pt>
                        <c:pt idx="15">
                          <c:v>587</c:v>
                        </c:pt>
                        <c:pt idx="16">
                          <c:v>868</c:v>
                        </c:pt>
                        <c:pt idx="17">
                          <c:v>384</c:v>
                        </c:pt>
                        <c:pt idx="18">
                          <c:v>701</c:v>
                        </c:pt>
                        <c:pt idx="19">
                          <c:v>427</c:v>
                        </c:pt>
                        <c:pt idx="20">
                          <c:v>150</c:v>
                        </c:pt>
                        <c:pt idx="21">
                          <c:v>797</c:v>
                        </c:pt>
                        <c:pt idx="22">
                          <c:v>577</c:v>
                        </c:pt>
                        <c:pt idx="23">
                          <c:v>385</c:v>
                        </c:pt>
                        <c:pt idx="24">
                          <c:v>419</c:v>
                        </c:pt>
                        <c:pt idx="25">
                          <c:v>733</c:v>
                        </c:pt>
                        <c:pt idx="26">
                          <c:v>278</c:v>
                        </c:pt>
                        <c:pt idx="27">
                          <c:v>231</c:v>
                        </c:pt>
                        <c:pt idx="28">
                          <c:v>699</c:v>
                        </c:pt>
                        <c:pt idx="29">
                          <c:v>829</c:v>
                        </c:pt>
                      </c:lvl>
                      <c:lvl>
                        <c:pt idx="0">
                          <c:v>8270</c:v>
                        </c:pt>
                        <c:pt idx="1">
                          <c:v>1860</c:v>
                        </c:pt>
                        <c:pt idx="2">
                          <c:v>6390</c:v>
                        </c:pt>
                        <c:pt idx="3">
                          <c:v>6191</c:v>
                        </c:pt>
                        <c:pt idx="4">
                          <c:v>6734</c:v>
                        </c:pt>
                        <c:pt idx="5">
                          <c:v>7265</c:v>
                        </c:pt>
                        <c:pt idx="6">
                          <c:v>1466</c:v>
                        </c:pt>
                        <c:pt idx="7">
                          <c:v>5426</c:v>
                        </c:pt>
                        <c:pt idx="8">
                          <c:v>6578</c:v>
                        </c:pt>
                        <c:pt idx="9">
                          <c:v>9322</c:v>
                        </c:pt>
                        <c:pt idx="10">
                          <c:v>2685</c:v>
                        </c:pt>
                        <c:pt idx="11">
                          <c:v>1769</c:v>
                        </c:pt>
                        <c:pt idx="12">
                          <c:v>7949</c:v>
                        </c:pt>
                        <c:pt idx="13">
                          <c:v>3433</c:v>
                        </c:pt>
                        <c:pt idx="14">
                          <c:v>6311</c:v>
                        </c:pt>
                        <c:pt idx="15">
                          <c:v>6051</c:v>
                        </c:pt>
                        <c:pt idx="16">
                          <c:v>7420</c:v>
                        </c:pt>
                        <c:pt idx="17">
                          <c:v>2184</c:v>
                        </c:pt>
                        <c:pt idx="18">
                          <c:v>5555</c:v>
                        </c:pt>
                        <c:pt idx="19">
                          <c:v>4385</c:v>
                        </c:pt>
                        <c:pt idx="20">
                          <c:v>7396</c:v>
                        </c:pt>
                        <c:pt idx="21">
                          <c:v>9666</c:v>
                        </c:pt>
                        <c:pt idx="22">
                          <c:v>3558</c:v>
                        </c:pt>
                        <c:pt idx="23">
                          <c:v>8849</c:v>
                        </c:pt>
                        <c:pt idx="24">
                          <c:v>3047</c:v>
                        </c:pt>
                        <c:pt idx="25">
                          <c:v>3747</c:v>
                        </c:pt>
                        <c:pt idx="26">
                          <c:v>1189</c:v>
                        </c:pt>
                        <c:pt idx="27">
                          <c:v>3734</c:v>
                        </c:pt>
                        <c:pt idx="28">
                          <c:v>4005</c:v>
                        </c:pt>
                        <c:pt idx="29">
                          <c:v>5658</c:v>
                        </c:pt>
                      </c:lvl>
                      <c:lvl>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lvl>
                    </c:multiLvlStrCache>
                  </c:multiLvlStrRef>
                </c:cat>
                <c:val>
                  <c:numRef>
                    <c:extLst>
                      <c:ext uri="{02D57815-91ED-43cb-92C2-25804820EDAC}">
                        <c15:formulaRef>
                          <c15:sqref>ecommerce_sales_data!$O$2:$O$31</c15:sqref>
                        </c15:formulaRef>
                      </c:ext>
                    </c:extLst>
                    <c:numCache>
                      <c:formatCode>General</c:formatCode>
                      <c:ptCount val="30"/>
                      <c:pt idx="0">
                        <c:v>1</c:v>
                      </c:pt>
                      <c:pt idx="1">
                        <c:v>1</c:v>
                      </c:pt>
                      <c:pt idx="2">
                        <c:v>2</c:v>
                      </c:pt>
                      <c:pt idx="3">
                        <c:v>2</c:v>
                      </c:pt>
                      <c:pt idx="4">
                        <c:v>2</c:v>
                      </c:pt>
                      <c:pt idx="5">
                        <c:v>3</c:v>
                      </c:pt>
                      <c:pt idx="6">
                        <c:v>3</c:v>
                      </c:pt>
                      <c:pt idx="7">
                        <c:v>1</c:v>
                      </c:pt>
                      <c:pt idx="8">
                        <c:v>4</c:v>
                      </c:pt>
                      <c:pt idx="9">
                        <c:v>3</c:v>
                      </c:pt>
                      <c:pt idx="10">
                        <c:v>3</c:v>
                      </c:pt>
                      <c:pt idx="11">
                        <c:v>1</c:v>
                      </c:pt>
                      <c:pt idx="12">
                        <c:v>3</c:v>
                      </c:pt>
                      <c:pt idx="13">
                        <c:v>1</c:v>
                      </c:pt>
                      <c:pt idx="14">
                        <c:v>3</c:v>
                      </c:pt>
                      <c:pt idx="15">
                        <c:v>2</c:v>
                      </c:pt>
                      <c:pt idx="16">
                        <c:v>4</c:v>
                      </c:pt>
                      <c:pt idx="17">
                        <c:v>2</c:v>
                      </c:pt>
                      <c:pt idx="18">
                        <c:v>4</c:v>
                      </c:pt>
                      <c:pt idx="19">
                        <c:v>1</c:v>
                      </c:pt>
                      <c:pt idx="20">
                        <c:v>2</c:v>
                      </c:pt>
                      <c:pt idx="21">
                        <c:v>4</c:v>
                      </c:pt>
                      <c:pt idx="22">
                        <c:v>3</c:v>
                      </c:pt>
                      <c:pt idx="23">
                        <c:v>4</c:v>
                      </c:pt>
                      <c:pt idx="24">
                        <c:v>4</c:v>
                      </c:pt>
                      <c:pt idx="25">
                        <c:v>4</c:v>
                      </c:pt>
                      <c:pt idx="26">
                        <c:v>3</c:v>
                      </c:pt>
                      <c:pt idx="27">
                        <c:v>3</c:v>
                      </c:pt>
                      <c:pt idx="28">
                        <c:v>1</c:v>
                      </c:pt>
                      <c:pt idx="29">
                        <c:v>4</c:v>
                      </c:pt>
                    </c:numCache>
                  </c:numRef>
                </c:val>
                <c:extLst>
                  <c:ext xmlns:c16="http://schemas.microsoft.com/office/drawing/2014/chart" uri="{C3380CC4-5D6E-409C-BE32-E72D297353CC}">
                    <c16:uniqueId val="{00000001-4866-428E-9269-5D45CDDB353A}"/>
                  </c:ext>
                </c:extLst>
              </c15:ser>
            </c15:filteredPieSeries>
            <c15:filteredPieSeries>
              <c15:ser>
                <c:idx val="2"/>
                <c:order val="2"/>
                <c:tx>
                  <c:strRef>
                    <c:extLst>
                      <c:ext xmlns:c15="http://schemas.microsoft.com/office/drawing/2012/chart" uri="{02D57815-91ED-43cb-92C2-25804820EDAC}">
                        <c15:formulaRef>
                          <c15:sqref>ecommerce_sales_data!$P$1</c15:sqref>
                        </c15:formulaRef>
                      </c:ext>
                    </c:extLst>
                    <c:strCache>
                      <c:ptCount val="1"/>
                      <c:pt idx="0">
                        <c:v>encode</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Pt>
                  <c:idx val="18"/>
                  <c:bubble3D val="0"/>
                  <c:spPr>
                    <a:solidFill>
                      <a:schemeClr val="accent1">
                        <a:lumMod val="80000"/>
                      </a:schemeClr>
                    </a:solidFill>
                    <a:ln w="19050">
                      <a:solidFill>
                        <a:schemeClr val="lt1"/>
                      </a:solidFill>
                    </a:ln>
                    <a:effectLst/>
                  </c:spPr>
                </c:dPt>
                <c:dPt>
                  <c:idx val="19"/>
                  <c:bubble3D val="0"/>
                  <c:spPr>
                    <a:solidFill>
                      <a:schemeClr val="accent2">
                        <a:lumMod val="80000"/>
                      </a:schemeClr>
                    </a:solidFill>
                    <a:ln w="19050">
                      <a:solidFill>
                        <a:schemeClr val="lt1"/>
                      </a:solidFill>
                    </a:ln>
                    <a:effectLst/>
                  </c:spPr>
                </c:dPt>
                <c:dPt>
                  <c:idx val="20"/>
                  <c:bubble3D val="0"/>
                  <c:spPr>
                    <a:solidFill>
                      <a:schemeClr val="accent3">
                        <a:lumMod val="80000"/>
                      </a:schemeClr>
                    </a:solidFill>
                    <a:ln w="19050">
                      <a:solidFill>
                        <a:schemeClr val="lt1"/>
                      </a:solidFill>
                    </a:ln>
                    <a:effectLst/>
                  </c:spPr>
                </c:dPt>
                <c:dPt>
                  <c:idx val="21"/>
                  <c:bubble3D val="0"/>
                  <c:spPr>
                    <a:solidFill>
                      <a:schemeClr val="accent4">
                        <a:lumMod val="80000"/>
                      </a:schemeClr>
                    </a:solidFill>
                    <a:ln w="19050">
                      <a:solidFill>
                        <a:schemeClr val="lt1"/>
                      </a:solidFill>
                    </a:ln>
                    <a:effectLst/>
                  </c:spPr>
                </c:dPt>
                <c:dPt>
                  <c:idx val="22"/>
                  <c:bubble3D val="0"/>
                  <c:spPr>
                    <a:solidFill>
                      <a:schemeClr val="accent5">
                        <a:lumMod val="80000"/>
                      </a:schemeClr>
                    </a:solidFill>
                    <a:ln w="19050">
                      <a:solidFill>
                        <a:schemeClr val="lt1"/>
                      </a:solidFill>
                    </a:ln>
                    <a:effectLst/>
                  </c:spPr>
                </c:dPt>
                <c:dPt>
                  <c:idx val="23"/>
                  <c:bubble3D val="0"/>
                  <c:spPr>
                    <a:solidFill>
                      <a:schemeClr val="accent6">
                        <a:lumMod val="80000"/>
                      </a:schemeClr>
                    </a:solidFill>
                    <a:ln w="19050">
                      <a:solidFill>
                        <a:schemeClr val="lt1"/>
                      </a:solidFill>
                    </a:ln>
                    <a:effectLst/>
                  </c:spPr>
                </c:dPt>
                <c:dPt>
                  <c:idx val="24"/>
                  <c:bubble3D val="0"/>
                  <c:spPr>
                    <a:solidFill>
                      <a:schemeClr val="accent1">
                        <a:lumMod val="60000"/>
                        <a:lumOff val="40000"/>
                      </a:schemeClr>
                    </a:solidFill>
                    <a:ln w="19050">
                      <a:solidFill>
                        <a:schemeClr val="lt1"/>
                      </a:solidFill>
                    </a:ln>
                    <a:effectLst/>
                  </c:spPr>
                </c:dPt>
                <c:dPt>
                  <c:idx val="25"/>
                  <c:bubble3D val="0"/>
                  <c:spPr>
                    <a:solidFill>
                      <a:schemeClr val="accent2">
                        <a:lumMod val="60000"/>
                        <a:lumOff val="40000"/>
                      </a:schemeClr>
                    </a:solidFill>
                    <a:ln w="19050">
                      <a:solidFill>
                        <a:schemeClr val="lt1"/>
                      </a:solidFill>
                    </a:ln>
                    <a:effectLst/>
                  </c:spPr>
                </c:dPt>
                <c:dPt>
                  <c:idx val="26"/>
                  <c:bubble3D val="0"/>
                  <c:spPr>
                    <a:solidFill>
                      <a:schemeClr val="accent3">
                        <a:lumMod val="60000"/>
                        <a:lumOff val="40000"/>
                      </a:schemeClr>
                    </a:solidFill>
                    <a:ln w="19050">
                      <a:solidFill>
                        <a:schemeClr val="lt1"/>
                      </a:solidFill>
                    </a:ln>
                    <a:effectLst/>
                  </c:spPr>
                </c:dPt>
                <c:dPt>
                  <c:idx val="27"/>
                  <c:bubble3D val="0"/>
                  <c:spPr>
                    <a:solidFill>
                      <a:schemeClr val="accent4">
                        <a:lumMod val="60000"/>
                        <a:lumOff val="40000"/>
                      </a:schemeClr>
                    </a:solidFill>
                    <a:ln w="19050">
                      <a:solidFill>
                        <a:schemeClr val="lt1"/>
                      </a:solidFill>
                    </a:ln>
                    <a:effectLst/>
                  </c:spPr>
                </c:dPt>
                <c:dPt>
                  <c:idx val="28"/>
                  <c:bubble3D val="0"/>
                  <c:spPr>
                    <a:solidFill>
                      <a:schemeClr val="accent5">
                        <a:lumMod val="60000"/>
                        <a:lumOff val="40000"/>
                      </a:schemeClr>
                    </a:solidFill>
                    <a:ln w="19050">
                      <a:solidFill>
                        <a:schemeClr val="lt1"/>
                      </a:solidFill>
                    </a:ln>
                    <a:effectLst/>
                  </c:spPr>
                </c:dPt>
                <c:dPt>
                  <c:idx val="29"/>
                  <c:bubble3D val="0"/>
                  <c:spPr>
                    <a:solidFill>
                      <a:schemeClr val="accent6">
                        <a:lumMod val="60000"/>
                        <a:lumOff val="40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multiLvlStrRef>
                    <c:extLst>
                      <c:ext xmlns:c15="http://schemas.microsoft.com/office/drawing/2012/chart" uri="{02D57815-91ED-43cb-92C2-25804820EDAC}">
                        <c15:formulaRef>
                          <c15:sqref>ecommerce_sales_data!$A$2:$M$31</c15:sqref>
                        </c15:formulaRef>
                      </c:ext>
                    </c:extLst>
                    <c:multiLvlStrCache>
                      <c:ptCount val="30"/>
                      <c:lvl>
                        <c:pt idx="0">
                          <c:v>Medium</c:v>
                        </c:pt>
                        <c:pt idx="1">
                          <c:v>High</c:v>
                        </c:pt>
                        <c:pt idx="2">
                          <c:v>High</c:v>
                        </c:pt>
                        <c:pt idx="3">
                          <c:v>Low</c:v>
                        </c:pt>
                        <c:pt idx="4">
                          <c:v>High</c:v>
                        </c:pt>
                        <c:pt idx="5">
                          <c:v>High</c:v>
                        </c:pt>
                        <c:pt idx="6">
                          <c:v>Low</c:v>
                        </c:pt>
                        <c:pt idx="7">
                          <c:v>High</c:v>
                        </c:pt>
                        <c:pt idx="8">
                          <c:v>Low</c:v>
                        </c:pt>
                        <c:pt idx="9">
                          <c:v>Low</c:v>
                        </c:pt>
                        <c:pt idx="10">
                          <c:v>Low</c:v>
                        </c:pt>
                        <c:pt idx="11">
                          <c:v>High</c:v>
                        </c:pt>
                        <c:pt idx="12">
                          <c:v>Low</c:v>
                        </c:pt>
                        <c:pt idx="13">
                          <c:v>Low</c:v>
                        </c:pt>
                        <c:pt idx="14">
                          <c:v>High</c:v>
                        </c:pt>
                        <c:pt idx="15">
                          <c:v>Low</c:v>
                        </c:pt>
                        <c:pt idx="16">
                          <c:v>Medium</c:v>
                        </c:pt>
                        <c:pt idx="17">
                          <c:v>Medium</c:v>
                        </c:pt>
                        <c:pt idx="18">
                          <c:v>Low</c:v>
                        </c:pt>
                        <c:pt idx="19">
                          <c:v>Low</c:v>
                        </c:pt>
                        <c:pt idx="20">
                          <c:v>Medium</c:v>
                        </c:pt>
                        <c:pt idx="21">
                          <c:v>Medium</c:v>
                        </c:pt>
                        <c:pt idx="22">
                          <c:v>Medium</c:v>
                        </c:pt>
                        <c:pt idx="23">
                          <c:v>High</c:v>
                        </c:pt>
                        <c:pt idx="24">
                          <c:v>High</c:v>
                        </c:pt>
                        <c:pt idx="25">
                          <c:v>Low</c:v>
                        </c:pt>
                        <c:pt idx="26">
                          <c:v>Low</c:v>
                        </c:pt>
                        <c:pt idx="27">
                          <c:v>Low</c:v>
                        </c:pt>
                        <c:pt idx="28">
                          <c:v>High</c:v>
                        </c:pt>
                        <c:pt idx="29">
                          <c:v>Low</c:v>
                        </c:pt>
                      </c:lvl>
                      <c:lvl>
                        <c:pt idx="0">
                          <c:v>Female</c:v>
                        </c:pt>
                        <c:pt idx="1">
                          <c:v>Other</c:v>
                        </c:pt>
                        <c:pt idx="2">
                          <c:v>Female</c:v>
                        </c:pt>
                        <c:pt idx="3">
                          <c:v>Female</c:v>
                        </c:pt>
                        <c:pt idx="4">
                          <c:v>Other</c:v>
                        </c:pt>
                        <c:pt idx="5">
                          <c:v>Male</c:v>
                        </c:pt>
                        <c:pt idx="6">
                          <c:v>Male</c:v>
                        </c:pt>
                        <c:pt idx="7">
                          <c:v>Female</c:v>
                        </c:pt>
                        <c:pt idx="8">
                          <c:v>Male</c:v>
                        </c:pt>
                        <c:pt idx="9">
                          <c:v>Female</c:v>
                        </c:pt>
                        <c:pt idx="10">
                          <c:v>Other</c:v>
                        </c:pt>
                        <c:pt idx="11">
                          <c:v>Other</c:v>
                        </c:pt>
                        <c:pt idx="12">
                          <c:v>Other</c:v>
                        </c:pt>
                        <c:pt idx="13">
                          <c:v>Male</c:v>
                        </c:pt>
                        <c:pt idx="14">
                          <c:v>Other</c:v>
                        </c:pt>
                        <c:pt idx="15">
                          <c:v>Other</c:v>
                        </c:pt>
                        <c:pt idx="16">
                          <c:v>Other</c:v>
                        </c:pt>
                        <c:pt idx="17">
                          <c:v>Other</c:v>
                        </c:pt>
                        <c:pt idx="18">
                          <c:v>Female</c:v>
                        </c:pt>
                        <c:pt idx="19">
                          <c:v>Other</c:v>
                        </c:pt>
                        <c:pt idx="20">
                          <c:v>Male</c:v>
                        </c:pt>
                        <c:pt idx="21">
                          <c:v>Female</c:v>
                        </c:pt>
                        <c:pt idx="22">
                          <c:v>Other</c:v>
                        </c:pt>
                        <c:pt idx="23">
                          <c:v>Female</c:v>
                        </c:pt>
                        <c:pt idx="24">
                          <c:v>Male</c:v>
                        </c:pt>
                        <c:pt idx="25">
                          <c:v>Male</c:v>
                        </c:pt>
                        <c:pt idx="26">
                          <c:v>Male</c:v>
                        </c:pt>
                        <c:pt idx="27">
                          <c:v>Male</c:v>
                        </c:pt>
                        <c:pt idx="28">
                          <c:v>Other</c:v>
                        </c:pt>
                        <c:pt idx="29">
                          <c:v>Female</c:v>
                        </c:pt>
                      </c:lvl>
                      <c:lvl>
                        <c:pt idx="0">
                          <c:v>46</c:v>
                        </c:pt>
                        <c:pt idx="1">
                          <c:v>59</c:v>
                        </c:pt>
                        <c:pt idx="2">
                          <c:v>61</c:v>
                        </c:pt>
                        <c:pt idx="3">
                          <c:v>69</c:v>
                        </c:pt>
                        <c:pt idx="4">
                          <c:v>29</c:v>
                        </c:pt>
                        <c:pt idx="5">
                          <c:v>60</c:v>
                        </c:pt>
                        <c:pt idx="6">
                          <c:v>69</c:v>
                        </c:pt>
                        <c:pt idx="7">
                          <c:v>45</c:v>
                        </c:pt>
                        <c:pt idx="8">
                          <c:v>37</c:v>
                        </c:pt>
                        <c:pt idx="9">
                          <c:v>67</c:v>
                        </c:pt>
                        <c:pt idx="10">
                          <c:v>36</c:v>
                        </c:pt>
                        <c:pt idx="11">
                          <c:v>61</c:v>
                        </c:pt>
                        <c:pt idx="12">
                          <c:v>65</c:v>
                        </c:pt>
                        <c:pt idx="13">
                          <c:v>35</c:v>
                        </c:pt>
                        <c:pt idx="14">
                          <c:v>20</c:v>
                        </c:pt>
                        <c:pt idx="15">
                          <c:v>46</c:v>
                        </c:pt>
                        <c:pt idx="16">
                          <c:v>21</c:v>
                        </c:pt>
                        <c:pt idx="17">
                          <c:v>23</c:v>
                        </c:pt>
                        <c:pt idx="18">
                          <c:v>52</c:v>
                        </c:pt>
                        <c:pt idx="19">
                          <c:v>46</c:v>
                        </c:pt>
                        <c:pt idx="20">
                          <c:v>60</c:v>
                        </c:pt>
                        <c:pt idx="21">
                          <c:v>54</c:v>
                        </c:pt>
                        <c:pt idx="22">
                          <c:v>29</c:v>
                        </c:pt>
                        <c:pt idx="23">
                          <c:v>45</c:v>
                        </c:pt>
                        <c:pt idx="24">
                          <c:v>38</c:v>
                        </c:pt>
                        <c:pt idx="25">
                          <c:v>52</c:v>
                        </c:pt>
                        <c:pt idx="26">
                          <c:v>66</c:v>
                        </c:pt>
                        <c:pt idx="27">
                          <c:v>34</c:v>
                        </c:pt>
                        <c:pt idx="28">
                          <c:v>52</c:v>
                        </c:pt>
                        <c:pt idx="29">
                          <c:v>68</c:v>
                        </c:pt>
                      </c:lvl>
                      <c:lvl>
                        <c:pt idx="0">
                          <c:v>New Juan</c:v>
                        </c:pt>
                        <c:pt idx="1">
                          <c:v>South Julie</c:v>
                        </c:pt>
                        <c:pt idx="2">
                          <c:v>West Carrieview</c:v>
                        </c:pt>
                        <c:pt idx="3">
                          <c:v>Christianberg</c:v>
                        </c:pt>
                        <c:pt idx="4">
                          <c:v>South Williamhaven</c:v>
                        </c:pt>
                        <c:pt idx="5">
                          <c:v>Stephenfort</c:v>
                        </c:pt>
                        <c:pt idx="6">
                          <c:v>North Terristad</c:v>
                        </c:pt>
                        <c:pt idx="7">
                          <c:v>Pachecotown</c:v>
                        </c:pt>
                        <c:pt idx="8">
                          <c:v>Port Philipberg</c:v>
                        </c:pt>
                        <c:pt idx="9">
                          <c:v>Jenniferfurt</c:v>
                        </c:pt>
                        <c:pt idx="10">
                          <c:v>Lake Carolyn</c:v>
                        </c:pt>
                        <c:pt idx="11">
                          <c:v>Amandaborough</c:v>
                        </c:pt>
                        <c:pt idx="12">
                          <c:v>South Maria</c:v>
                        </c:pt>
                        <c:pt idx="13">
                          <c:v>West Marissa</c:v>
                        </c:pt>
                        <c:pt idx="14">
                          <c:v>Austinburgh</c:v>
                        </c:pt>
                        <c:pt idx="15">
                          <c:v>Lake Jesse</c:v>
                        </c:pt>
                        <c:pt idx="16">
                          <c:v>Marioburgh</c:v>
                        </c:pt>
                        <c:pt idx="17">
                          <c:v>Ryanhaven</c:v>
                        </c:pt>
                        <c:pt idx="18">
                          <c:v>Dickersonmouth</c:v>
                        </c:pt>
                        <c:pt idx="19">
                          <c:v>Annaborough</c:v>
                        </c:pt>
                        <c:pt idx="20">
                          <c:v>Ramirezburgh</c:v>
                        </c:pt>
                        <c:pt idx="21">
                          <c:v>Sextonberg</c:v>
                        </c:pt>
                        <c:pt idx="22">
                          <c:v>Beasleyshire</c:v>
                        </c:pt>
                        <c:pt idx="23">
                          <c:v>Lake Brittneyland</c:v>
                        </c:pt>
                        <c:pt idx="24">
                          <c:v>South John</c:v>
                        </c:pt>
                        <c:pt idx="25">
                          <c:v>New Devin</c:v>
                        </c:pt>
                        <c:pt idx="26">
                          <c:v>Lake Denise</c:v>
                        </c:pt>
                        <c:pt idx="27">
                          <c:v>South Susan</c:v>
                        </c:pt>
                        <c:pt idx="28">
                          <c:v>Johnsonchester</c:v>
                        </c:pt>
                        <c:pt idx="29">
                          <c:v>Martinberg</c:v>
                        </c:pt>
                      </c:lvl>
                      <c:lvl>
                        <c:pt idx="0">
                          <c:v>22-12-2023 10:35</c:v>
                        </c:pt>
                        <c:pt idx="1">
                          <c:v>05-05-2024 10:40</c:v>
                        </c:pt>
                        <c:pt idx="2">
                          <c:v>04-12-2023 05:22</c:v>
                        </c:pt>
                        <c:pt idx="3">
                          <c:v>02-01-2024 11:11</c:v>
                        </c:pt>
                        <c:pt idx="4">
                          <c:v>18-06-2024 01:01</c:v>
                        </c:pt>
                        <c:pt idx="5">
                          <c:v>06-03-2024 06:15</c:v>
                        </c:pt>
                        <c:pt idx="6">
                          <c:v>15-10-2023 13:30</c:v>
                        </c:pt>
                        <c:pt idx="7">
                          <c:v>16-05-2024 01:46</c:v>
                        </c:pt>
                        <c:pt idx="8">
                          <c:v>04-08-2024 17:13</c:v>
                        </c:pt>
                        <c:pt idx="9">
                          <c:v>18-12-2023 18:38</c:v>
                        </c:pt>
                        <c:pt idx="10">
                          <c:v>26-05-2024 02:56</c:v>
                        </c:pt>
                        <c:pt idx="11">
                          <c:v>26-09-2023 05:18</c:v>
                        </c:pt>
                        <c:pt idx="12">
                          <c:v>13-12-2023 23:53</c:v>
                        </c:pt>
                        <c:pt idx="13">
                          <c:v>02-12-2023 07:44</c:v>
                        </c:pt>
                        <c:pt idx="14">
                          <c:v>01-03-2024 17:49</c:v>
                        </c:pt>
                        <c:pt idx="15">
                          <c:v>12-08-2024 12:13</c:v>
                        </c:pt>
                        <c:pt idx="16">
                          <c:v>24-07-2024 08:49</c:v>
                        </c:pt>
                        <c:pt idx="17">
                          <c:v>14-06-2024 18:03</c:v>
                        </c:pt>
                        <c:pt idx="18">
                          <c:v>02-03-2024 05:18</c:v>
                        </c:pt>
                        <c:pt idx="19">
                          <c:v>19-05-2024 13:22</c:v>
                        </c:pt>
                        <c:pt idx="20">
                          <c:v>13-05-2024 10:04</c:v>
                        </c:pt>
                        <c:pt idx="21">
                          <c:v>05-04-2024 20:50</c:v>
                        </c:pt>
                        <c:pt idx="22">
                          <c:v>17-11-2023 05:30</c:v>
                        </c:pt>
                        <c:pt idx="23">
                          <c:v>05-08-2024 14:07</c:v>
                        </c:pt>
                        <c:pt idx="24">
                          <c:v>24-02-2024 01:14</c:v>
                        </c:pt>
                        <c:pt idx="25">
                          <c:v>04-03-2024 09:18</c:v>
                        </c:pt>
                        <c:pt idx="26">
                          <c:v>26-10-2023 07:12</c:v>
                        </c:pt>
                        <c:pt idx="27">
                          <c:v>04-08-2024 12:39</c:v>
                        </c:pt>
                        <c:pt idx="28">
                          <c:v>06-05-2024 01:39</c:v>
                        </c:pt>
                        <c:pt idx="29">
                          <c:v>23-10-2023 11:34</c:v>
                        </c:pt>
                      </c:lvl>
                      <c:lvl>
                        <c:pt idx="0">
                          <c:v>0.13</c:v>
                        </c:pt>
                        <c:pt idx="1">
                          <c:v>0.06</c:v>
                        </c:pt>
                        <c:pt idx="2">
                          <c:v>0.24</c:v>
                        </c:pt>
                        <c:pt idx="3">
                          <c:v>0.01</c:v>
                        </c:pt>
                        <c:pt idx="4">
                          <c:v>0.14</c:v>
                        </c:pt>
                        <c:pt idx="5">
                          <c:v>0.18</c:v>
                        </c:pt>
                        <c:pt idx="6">
                          <c:v>0.09</c:v>
                        </c:pt>
                        <c:pt idx="7">
                          <c:v>0.29</c:v>
                        </c:pt>
                        <c:pt idx="8">
                          <c:v>0.12</c:v>
                        </c:pt>
                        <c:pt idx="9">
                          <c:v>0.23</c:v>
                        </c:pt>
                        <c:pt idx="10">
                          <c:v>0.06</c:v>
                        </c:pt>
                        <c:pt idx="11">
                          <c:v>0.05</c:v>
                        </c:pt>
                        <c:pt idx="12">
                          <c:v>0.25</c:v>
                        </c:pt>
                        <c:pt idx="13">
                          <c:v>0.15</c:v>
                        </c:pt>
                        <c:pt idx="14">
                          <c:v>0.26</c:v>
                        </c:pt>
                        <c:pt idx="15">
                          <c:v>0.22</c:v>
                        </c:pt>
                        <c:pt idx="16">
                          <c:v>0.19</c:v>
                        </c:pt>
                        <c:pt idx="17">
                          <c:v>0.26</c:v>
                        </c:pt>
                        <c:pt idx="18">
                          <c:v>0.12</c:v>
                        </c:pt>
                        <c:pt idx="19">
                          <c:v>0.28</c:v>
                        </c:pt>
                        <c:pt idx="20">
                          <c:v>0.04</c:v>
                        </c:pt>
                        <c:pt idx="21">
                          <c:v>0.04</c:v>
                        </c:pt>
                        <c:pt idx="22">
                          <c:v>0.04</c:v>
                        </c:pt>
                        <c:pt idx="23">
                          <c:v>0.15</c:v>
                        </c:pt>
                        <c:pt idx="24">
                          <c:v>0.28</c:v>
                        </c:pt>
                        <c:pt idx="25">
                          <c:v>0.2</c:v>
                        </c:pt>
                        <c:pt idx="26">
                          <c:v>0.11</c:v>
                        </c:pt>
                        <c:pt idx="27">
                          <c:v>0.05</c:v>
                        </c:pt>
                        <c:pt idx="28">
                          <c:v>0.11</c:v>
                        </c:pt>
                        <c:pt idx="29">
                          <c:v>0.01</c:v>
                        </c:pt>
                      </c:lvl>
                      <c:lvl>
                        <c:pt idx="0">
                          <c:v>801.66</c:v>
                        </c:pt>
                        <c:pt idx="1">
                          <c:v>225.03</c:v>
                        </c:pt>
                        <c:pt idx="2">
                          <c:v>544.99</c:v>
                        </c:pt>
                        <c:pt idx="3">
                          <c:v>157.02</c:v>
                        </c:pt>
                        <c:pt idx="4">
                          <c:v>155.51</c:v>
                        </c:pt>
                        <c:pt idx="5">
                          <c:v>225.65</c:v>
                        </c:pt>
                        <c:pt idx="6">
                          <c:v>631.96</c:v>
                        </c:pt>
                        <c:pt idx="7">
                          <c:v>522.87</c:v>
                        </c:pt>
                        <c:pt idx="8">
                          <c:v>202.66</c:v>
                        </c:pt>
                        <c:pt idx="9">
                          <c:v>401.52</c:v>
                        </c:pt>
                        <c:pt idx="10">
                          <c:v>346.31</c:v>
                        </c:pt>
                        <c:pt idx="11">
                          <c:v>434.15</c:v>
                        </c:pt>
                        <c:pt idx="12">
                          <c:v>189.87</c:v>
                        </c:pt>
                        <c:pt idx="13">
                          <c:v>559.1</c:v>
                        </c:pt>
                        <c:pt idx="14">
                          <c:v>29.01</c:v>
                        </c:pt>
                        <c:pt idx="15">
                          <c:v>541.5</c:v>
                        </c:pt>
                        <c:pt idx="16">
                          <c:v>218.68</c:v>
                        </c:pt>
                        <c:pt idx="17">
                          <c:v>439.07</c:v>
                        </c:pt>
                        <c:pt idx="18">
                          <c:v>849.82</c:v>
                        </c:pt>
                        <c:pt idx="19">
                          <c:v>886.69</c:v>
                        </c:pt>
                        <c:pt idx="20">
                          <c:v>137.79</c:v>
                        </c:pt>
                        <c:pt idx="21">
                          <c:v>6.58</c:v>
                        </c:pt>
                        <c:pt idx="22">
                          <c:v>888.2</c:v>
                        </c:pt>
                        <c:pt idx="23">
                          <c:v>109.35</c:v>
                        </c:pt>
                        <c:pt idx="24">
                          <c:v>144.08</c:v>
                        </c:pt>
                        <c:pt idx="25">
                          <c:v>576.59</c:v>
                        </c:pt>
                        <c:pt idx="26">
                          <c:v>954.41</c:v>
                        </c:pt>
                        <c:pt idx="27">
                          <c:v>513.82</c:v>
                        </c:pt>
                        <c:pt idx="28">
                          <c:v>767.89</c:v>
                        </c:pt>
                        <c:pt idx="29">
                          <c:v>653.79</c:v>
                        </c:pt>
                      </c:lvl>
                      <c:lvl>
                        <c:pt idx="0">
                          <c:v>Cash on Delivery</c:v>
                        </c:pt>
                        <c:pt idx="1">
                          <c:v>Debit Card</c:v>
                        </c:pt>
                        <c:pt idx="2">
                          <c:v>Debit Card</c:v>
                        </c:pt>
                        <c:pt idx="3">
                          <c:v>Bank Transfer</c:v>
                        </c:pt>
                        <c:pt idx="4">
                          <c:v>Debit Card</c:v>
                        </c:pt>
                        <c:pt idx="5">
                          <c:v>Bank Transfer</c:v>
                        </c:pt>
                        <c:pt idx="6">
                          <c:v>Credit Card</c:v>
                        </c:pt>
                        <c:pt idx="7">
                          <c:v>Cash on Delivery</c:v>
                        </c:pt>
                        <c:pt idx="8">
                          <c:v>Cash on Delivery</c:v>
                        </c:pt>
                        <c:pt idx="9">
                          <c:v>Cash on Delivery</c:v>
                        </c:pt>
                        <c:pt idx="10">
                          <c:v>Cash on Delivery</c:v>
                        </c:pt>
                        <c:pt idx="11">
                          <c:v>Bank Transfer</c:v>
                        </c:pt>
                        <c:pt idx="12">
                          <c:v>Credit Card</c:v>
                        </c:pt>
                        <c:pt idx="13">
                          <c:v>Debit Card</c:v>
                        </c:pt>
                        <c:pt idx="14">
                          <c:v>Cash on Delivery</c:v>
                        </c:pt>
                        <c:pt idx="15">
                          <c:v>Bank Transfer</c:v>
                        </c:pt>
                        <c:pt idx="16">
                          <c:v>Credit Card</c:v>
                        </c:pt>
                        <c:pt idx="17">
                          <c:v>PayPal</c:v>
                        </c:pt>
                        <c:pt idx="18">
                          <c:v>Cash on Delivery</c:v>
                        </c:pt>
                        <c:pt idx="19">
                          <c:v>Debit Card</c:v>
                        </c:pt>
                        <c:pt idx="20">
                          <c:v>Credit Card</c:v>
                        </c:pt>
                        <c:pt idx="21">
                          <c:v>PayPal</c:v>
                        </c:pt>
                        <c:pt idx="22">
                          <c:v>Cash on Delivery</c:v>
                        </c:pt>
                        <c:pt idx="23">
                          <c:v>Debit Card</c:v>
                        </c:pt>
                        <c:pt idx="24">
                          <c:v>Cash on Delivery</c:v>
                        </c:pt>
                        <c:pt idx="25">
                          <c:v>Bank Transfer</c:v>
                        </c:pt>
                        <c:pt idx="26">
                          <c:v>PayPal</c:v>
                        </c:pt>
                        <c:pt idx="27">
                          <c:v>Credit Card</c:v>
                        </c:pt>
                        <c:pt idx="28">
                          <c:v>Credit Card</c:v>
                        </c:pt>
                        <c:pt idx="29">
                          <c:v>Cash on Delivery</c:v>
                        </c:pt>
                      </c:lvl>
                      <c:lvl>
                        <c:pt idx="0">
                          <c:v>Clothing</c:v>
                        </c:pt>
                        <c:pt idx="1">
                          <c:v>Beauty</c:v>
                        </c:pt>
                        <c:pt idx="2">
                          <c:v>Toys</c:v>
                        </c:pt>
                        <c:pt idx="3">
                          <c:v>Beauty</c:v>
                        </c:pt>
                        <c:pt idx="4">
                          <c:v>Electronics</c:v>
                        </c:pt>
                        <c:pt idx="5">
                          <c:v>Books</c:v>
                        </c:pt>
                        <c:pt idx="6">
                          <c:v>Beauty</c:v>
                        </c:pt>
                        <c:pt idx="7">
                          <c:v>Sports</c:v>
                        </c:pt>
                        <c:pt idx="8">
                          <c:v>Books</c:v>
                        </c:pt>
                        <c:pt idx="9">
                          <c:v>Toys</c:v>
                        </c:pt>
                        <c:pt idx="10">
                          <c:v>Clothing</c:v>
                        </c:pt>
                        <c:pt idx="11">
                          <c:v>Sports</c:v>
                        </c:pt>
                        <c:pt idx="12">
                          <c:v>Electronics</c:v>
                        </c:pt>
                        <c:pt idx="13">
                          <c:v>Home &amp; Kitchen</c:v>
                        </c:pt>
                        <c:pt idx="14">
                          <c:v>Toys</c:v>
                        </c:pt>
                        <c:pt idx="15">
                          <c:v>Toys</c:v>
                        </c:pt>
                        <c:pt idx="16">
                          <c:v>Beauty</c:v>
                        </c:pt>
                        <c:pt idx="17">
                          <c:v>Clothing</c:v>
                        </c:pt>
                        <c:pt idx="18">
                          <c:v>Books</c:v>
                        </c:pt>
                        <c:pt idx="19">
                          <c:v>Electronics</c:v>
                        </c:pt>
                        <c:pt idx="20">
                          <c:v>Toys</c:v>
                        </c:pt>
                        <c:pt idx="21">
                          <c:v>Electronics</c:v>
                        </c:pt>
                        <c:pt idx="22">
                          <c:v>Toys</c:v>
                        </c:pt>
                        <c:pt idx="23">
                          <c:v>Toys</c:v>
                        </c:pt>
                        <c:pt idx="24">
                          <c:v>Electronics</c:v>
                        </c:pt>
                        <c:pt idx="25">
                          <c:v>Sports</c:v>
                        </c:pt>
                        <c:pt idx="26">
                          <c:v>Electronics</c:v>
                        </c:pt>
                        <c:pt idx="27">
                          <c:v>Home &amp; Kitchen</c:v>
                        </c:pt>
                        <c:pt idx="28">
                          <c:v>Sports</c:v>
                        </c:pt>
                        <c:pt idx="29">
                          <c:v>Beauty</c:v>
                        </c:pt>
                      </c:lvl>
                      <c:lvl>
                        <c:pt idx="0">
                          <c:v>295</c:v>
                        </c:pt>
                        <c:pt idx="1">
                          <c:v>546</c:v>
                        </c:pt>
                        <c:pt idx="2">
                          <c:v>430</c:v>
                        </c:pt>
                        <c:pt idx="3">
                          <c:v>807</c:v>
                        </c:pt>
                        <c:pt idx="4">
                          <c:v>319</c:v>
                        </c:pt>
                        <c:pt idx="5">
                          <c:v>282</c:v>
                        </c:pt>
                        <c:pt idx="6">
                          <c:v>276</c:v>
                        </c:pt>
                        <c:pt idx="7">
                          <c:v>574</c:v>
                        </c:pt>
                        <c:pt idx="8">
                          <c:v>948</c:v>
                        </c:pt>
                        <c:pt idx="9">
                          <c:v>459</c:v>
                        </c:pt>
                        <c:pt idx="10">
                          <c:v>745</c:v>
                        </c:pt>
                        <c:pt idx="11">
                          <c:v>564</c:v>
                        </c:pt>
                        <c:pt idx="12">
                          <c:v>334</c:v>
                        </c:pt>
                        <c:pt idx="13">
                          <c:v>536</c:v>
                        </c:pt>
                        <c:pt idx="14">
                          <c:v>239</c:v>
                        </c:pt>
                        <c:pt idx="15">
                          <c:v>587</c:v>
                        </c:pt>
                        <c:pt idx="16">
                          <c:v>868</c:v>
                        </c:pt>
                        <c:pt idx="17">
                          <c:v>384</c:v>
                        </c:pt>
                        <c:pt idx="18">
                          <c:v>701</c:v>
                        </c:pt>
                        <c:pt idx="19">
                          <c:v>427</c:v>
                        </c:pt>
                        <c:pt idx="20">
                          <c:v>150</c:v>
                        </c:pt>
                        <c:pt idx="21">
                          <c:v>797</c:v>
                        </c:pt>
                        <c:pt idx="22">
                          <c:v>577</c:v>
                        </c:pt>
                        <c:pt idx="23">
                          <c:v>385</c:v>
                        </c:pt>
                        <c:pt idx="24">
                          <c:v>419</c:v>
                        </c:pt>
                        <c:pt idx="25">
                          <c:v>733</c:v>
                        </c:pt>
                        <c:pt idx="26">
                          <c:v>278</c:v>
                        </c:pt>
                        <c:pt idx="27">
                          <c:v>231</c:v>
                        </c:pt>
                        <c:pt idx="28">
                          <c:v>699</c:v>
                        </c:pt>
                        <c:pt idx="29">
                          <c:v>829</c:v>
                        </c:pt>
                      </c:lvl>
                      <c:lvl>
                        <c:pt idx="0">
                          <c:v>8270</c:v>
                        </c:pt>
                        <c:pt idx="1">
                          <c:v>1860</c:v>
                        </c:pt>
                        <c:pt idx="2">
                          <c:v>6390</c:v>
                        </c:pt>
                        <c:pt idx="3">
                          <c:v>6191</c:v>
                        </c:pt>
                        <c:pt idx="4">
                          <c:v>6734</c:v>
                        </c:pt>
                        <c:pt idx="5">
                          <c:v>7265</c:v>
                        </c:pt>
                        <c:pt idx="6">
                          <c:v>1466</c:v>
                        </c:pt>
                        <c:pt idx="7">
                          <c:v>5426</c:v>
                        </c:pt>
                        <c:pt idx="8">
                          <c:v>6578</c:v>
                        </c:pt>
                        <c:pt idx="9">
                          <c:v>9322</c:v>
                        </c:pt>
                        <c:pt idx="10">
                          <c:v>2685</c:v>
                        </c:pt>
                        <c:pt idx="11">
                          <c:v>1769</c:v>
                        </c:pt>
                        <c:pt idx="12">
                          <c:v>7949</c:v>
                        </c:pt>
                        <c:pt idx="13">
                          <c:v>3433</c:v>
                        </c:pt>
                        <c:pt idx="14">
                          <c:v>6311</c:v>
                        </c:pt>
                        <c:pt idx="15">
                          <c:v>6051</c:v>
                        </c:pt>
                        <c:pt idx="16">
                          <c:v>7420</c:v>
                        </c:pt>
                        <c:pt idx="17">
                          <c:v>2184</c:v>
                        </c:pt>
                        <c:pt idx="18">
                          <c:v>5555</c:v>
                        </c:pt>
                        <c:pt idx="19">
                          <c:v>4385</c:v>
                        </c:pt>
                        <c:pt idx="20">
                          <c:v>7396</c:v>
                        </c:pt>
                        <c:pt idx="21">
                          <c:v>9666</c:v>
                        </c:pt>
                        <c:pt idx="22">
                          <c:v>3558</c:v>
                        </c:pt>
                        <c:pt idx="23">
                          <c:v>8849</c:v>
                        </c:pt>
                        <c:pt idx="24">
                          <c:v>3047</c:v>
                        </c:pt>
                        <c:pt idx="25">
                          <c:v>3747</c:v>
                        </c:pt>
                        <c:pt idx="26">
                          <c:v>1189</c:v>
                        </c:pt>
                        <c:pt idx="27">
                          <c:v>3734</c:v>
                        </c:pt>
                        <c:pt idx="28">
                          <c:v>4005</c:v>
                        </c:pt>
                        <c:pt idx="29">
                          <c:v>5658</c:v>
                        </c:pt>
                      </c:lvl>
                      <c:lvl>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lvl>
                    </c:multiLvlStrCache>
                  </c:multiLvlStrRef>
                </c:cat>
                <c:val>
                  <c:numRef>
                    <c:extLst>
                      <c:ext xmlns:c15="http://schemas.microsoft.com/office/drawing/2012/chart" uri="{02D57815-91ED-43cb-92C2-25804820EDAC}">
                        <c15:formulaRef>
                          <c15:sqref>ecommerce_sales_data!$P$2:$P$31</c15:sqref>
                        </c15:formulaRef>
                      </c:ext>
                    </c:extLst>
                    <c:numCache>
                      <c:formatCode>General</c:formatCode>
                      <c:ptCount val="30"/>
                      <c:pt idx="0">
                        <c:v>1</c:v>
                      </c:pt>
                      <c:pt idx="1">
                        <c:v>2</c:v>
                      </c:pt>
                      <c:pt idx="2">
                        <c:v>3</c:v>
                      </c:pt>
                      <c:pt idx="3">
                        <c:v>2</c:v>
                      </c:pt>
                      <c:pt idx="4">
                        <c:v>4</c:v>
                      </c:pt>
                      <c:pt idx="5">
                        <c:v>6</c:v>
                      </c:pt>
                      <c:pt idx="6">
                        <c:v>2</c:v>
                      </c:pt>
                      <c:pt idx="7">
                        <c:v>5</c:v>
                      </c:pt>
                      <c:pt idx="8">
                        <c:v>6</c:v>
                      </c:pt>
                      <c:pt idx="9">
                        <c:v>3</c:v>
                      </c:pt>
                      <c:pt idx="10">
                        <c:v>1</c:v>
                      </c:pt>
                      <c:pt idx="11">
                        <c:v>5</c:v>
                      </c:pt>
                      <c:pt idx="12">
                        <c:v>4</c:v>
                      </c:pt>
                      <c:pt idx="13">
                        <c:v>0</c:v>
                      </c:pt>
                      <c:pt idx="14">
                        <c:v>3</c:v>
                      </c:pt>
                      <c:pt idx="15">
                        <c:v>3</c:v>
                      </c:pt>
                      <c:pt idx="16">
                        <c:v>2</c:v>
                      </c:pt>
                      <c:pt idx="17">
                        <c:v>1</c:v>
                      </c:pt>
                      <c:pt idx="18">
                        <c:v>6</c:v>
                      </c:pt>
                      <c:pt idx="19">
                        <c:v>4</c:v>
                      </c:pt>
                      <c:pt idx="20">
                        <c:v>3</c:v>
                      </c:pt>
                      <c:pt idx="21">
                        <c:v>4</c:v>
                      </c:pt>
                      <c:pt idx="22">
                        <c:v>3</c:v>
                      </c:pt>
                      <c:pt idx="23">
                        <c:v>3</c:v>
                      </c:pt>
                      <c:pt idx="24">
                        <c:v>4</c:v>
                      </c:pt>
                      <c:pt idx="25">
                        <c:v>5</c:v>
                      </c:pt>
                      <c:pt idx="26">
                        <c:v>4</c:v>
                      </c:pt>
                      <c:pt idx="27">
                        <c:v>0</c:v>
                      </c:pt>
                      <c:pt idx="28">
                        <c:v>5</c:v>
                      </c:pt>
                      <c:pt idx="29">
                        <c:v>2</c:v>
                      </c:pt>
                    </c:numCache>
                  </c:numRef>
                </c:val>
                <c:extLst>
                  <c:ext xmlns:c16="http://schemas.microsoft.com/office/drawing/2014/chart" uri="{C3380CC4-5D6E-409C-BE32-E72D297353CC}">
                    <c16:uniqueId val="{00000002-4866-428E-9269-5D45CDDB353A}"/>
                  </c:ext>
                </c:extLst>
              </c15:ser>
            </c15:filteredPieSeries>
          </c:ext>
        </c:extLst>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ecommerce_sales_data!$O$1</c:f>
              <c:strCache>
                <c:ptCount val="1"/>
                <c:pt idx="0">
                  <c:v>Quantity</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multiLvlStrRef>
              <c:f>ecommerce_sales_data!$A$2:$N$31</c:f>
              <c:multiLvlStrCache>
                <c:ptCount val="30"/>
                <c:lvl>
                  <c:pt idx="0">
                    <c:v>83.36</c:v>
                  </c:pt>
                  <c:pt idx="1">
                    <c:v>58.88</c:v>
                  </c:pt>
                  <c:pt idx="2">
                    <c:v>53.99</c:v>
                  </c:pt>
                  <c:pt idx="3">
                    <c:v>11.73</c:v>
                  </c:pt>
                  <c:pt idx="4">
                    <c:v>34.79</c:v>
                  </c:pt>
                  <c:pt idx="5">
                    <c:v>25.78</c:v>
                  </c:pt>
                  <c:pt idx="6">
                    <c:v>68.36</c:v>
                  </c:pt>
                  <c:pt idx="7">
                    <c:v>19.23</c:v>
                  </c:pt>
                  <c:pt idx="8">
                    <c:v>28.61</c:v>
                  </c:pt>
                  <c:pt idx="9">
                    <c:v>35.18</c:v>
                  </c:pt>
                  <c:pt idx="10">
                    <c:v>76.82</c:v>
                  </c:pt>
                  <c:pt idx="11">
                    <c:v>26.24</c:v>
                  </c:pt>
                  <c:pt idx="12">
                    <c:v>39.91</c:v>
                  </c:pt>
                  <c:pt idx="13">
                    <c:v>69.39</c:v>
                  </c:pt>
                  <c:pt idx="14">
                    <c:v>10.33</c:v>
                  </c:pt>
                  <c:pt idx="15">
                    <c:v>41.77</c:v>
                  </c:pt>
                  <c:pt idx="16">
                    <c:v>9.93</c:v>
                  </c:pt>
                  <c:pt idx="17">
                    <c:v>97.73</c:v>
                  </c:pt>
                  <c:pt idx="18">
                    <c:v>54.32</c:v>
                  </c:pt>
                  <c:pt idx="19">
                    <c:v>57.35</c:v>
                  </c:pt>
                  <c:pt idx="20">
                    <c:v>41.08</c:v>
                  </c:pt>
                  <c:pt idx="21">
                    <c:v>88.02</c:v>
                  </c:pt>
                  <c:pt idx="22">
                    <c:v>67.51</c:v>
                  </c:pt>
                  <c:pt idx="23">
                    <c:v>18.76</c:v>
                  </c:pt>
                  <c:pt idx="24">
                    <c:v>33.4</c:v>
                  </c:pt>
                  <c:pt idx="25">
                    <c:v>21.91</c:v>
                  </c:pt>
                  <c:pt idx="26">
                    <c:v>81.49</c:v>
                  </c:pt>
                  <c:pt idx="27">
                    <c:v>77.27</c:v>
                  </c:pt>
                  <c:pt idx="28">
                    <c:v>26.78</c:v>
                  </c:pt>
                  <c:pt idx="29">
                    <c:v>39.34</c:v>
                  </c:pt>
                </c:lvl>
                <c:lvl>
                  <c:pt idx="0">
                    <c:v>Medium</c:v>
                  </c:pt>
                  <c:pt idx="1">
                    <c:v>High</c:v>
                  </c:pt>
                  <c:pt idx="2">
                    <c:v>High</c:v>
                  </c:pt>
                  <c:pt idx="3">
                    <c:v>Low</c:v>
                  </c:pt>
                  <c:pt idx="4">
                    <c:v>High</c:v>
                  </c:pt>
                  <c:pt idx="5">
                    <c:v>High</c:v>
                  </c:pt>
                  <c:pt idx="6">
                    <c:v>Low</c:v>
                  </c:pt>
                  <c:pt idx="7">
                    <c:v>High</c:v>
                  </c:pt>
                  <c:pt idx="8">
                    <c:v>Low</c:v>
                  </c:pt>
                  <c:pt idx="9">
                    <c:v>Low</c:v>
                  </c:pt>
                  <c:pt idx="10">
                    <c:v>Low</c:v>
                  </c:pt>
                  <c:pt idx="11">
                    <c:v>High</c:v>
                  </c:pt>
                  <c:pt idx="12">
                    <c:v>Low</c:v>
                  </c:pt>
                  <c:pt idx="13">
                    <c:v>Low</c:v>
                  </c:pt>
                  <c:pt idx="14">
                    <c:v>High</c:v>
                  </c:pt>
                  <c:pt idx="15">
                    <c:v>Low</c:v>
                  </c:pt>
                  <c:pt idx="16">
                    <c:v>Medium</c:v>
                  </c:pt>
                  <c:pt idx="17">
                    <c:v>Medium</c:v>
                  </c:pt>
                  <c:pt idx="18">
                    <c:v>Low</c:v>
                  </c:pt>
                  <c:pt idx="19">
                    <c:v>Low</c:v>
                  </c:pt>
                  <c:pt idx="20">
                    <c:v>Medium</c:v>
                  </c:pt>
                  <c:pt idx="21">
                    <c:v>Medium</c:v>
                  </c:pt>
                  <c:pt idx="22">
                    <c:v>Medium</c:v>
                  </c:pt>
                  <c:pt idx="23">
                    <c:v>High</c:v>
                  </c:pt>
                  <c:pt idx="24">
                    <c:v>High</c:v>
                  </c:pt>
                  <c:pt idx="25">
                    <c:v>Low</c:v>
                  </c:pt>
                  <c:pt idx="26">
                    <c:v>Low</c:v>
                  </c:pt>
                  <c:pt idx="27">
                    <c:v>Low</c:v>
                  </c:pt>
                  <c:pt idx="28">
                    <c:v>High</c:v>
                  </c:pt>
                  <c:pt idx="29">
                    <c:v>Low</c:v>
                  </c:pt>
                </c:lvl>
                <c:lvl>
                  <c:pt idx="0">
                    <c:v>Female</c:v>
                  </c:pt>
                  <c:pt idx="1">
                    <c:v>Other</c:v>
                  </c:pt>
                  <c:pt idx="2">
                    <c:v>Female</c:v>
                  </c:pt>
                  <c:pt idx="3">
                    <c:v>Female</c:v>
                  </c:pt>
                  <c:pt idx="4">
                    <c:v>Other</c:v>
                  </c:pt>
                  <c:pt idx="5">
                    <c:v>Male</c:v>
                  </c:pt>
                  <c:pt idx="6">
                    <c:v>Male</c:v>
                  </c:pt>
                  <c:pt idx="7">
                    <c:v>Female</c:v>
                  </c:pt>
                  <c:pt idx="8">
                    <c:v>Male</c:v>
                  </c:pt>
                  <c:pt idx="9">
                    <c:v>Female</c:v>
                  </c:pt>
                  <c:pt idx="10">
                    <c:v>Other</c:v>
                  </c:pt>
                  <c:pt idx="11">
                    <c:v>Other</c:v>
                  </c:pt>
                  <c:pt idx="12">
                    <c:v>Other</c:v>
                  </c:pt>
                  <c:pt idx="13">
                    <c:v>Male</c:v>
                  </c:pt>
                  <c:pt idx="14">
                    <c:v>Other</c:v>
                  </c:pt>
                  <c:pt idx="15">
                    <c:v>Other</c:v>
                  </c:pt>
                  <c:pt idx="16">
                    <c:v>Other</c:v>
                  </c:pt>
                  <c:pt idx="17">
                    <c:v>Other</c:v>
                  </c:pt>
                  <c:pt idx="18">
                    <c:v>Female</c:v>
                  </c:pt>
                  <c:pt idx="19">
                    <c:v>Other</c:v>
                  </c:pt>
                  <c:pt idx="20">
                    <c:v>Male</c:v>
                  </c:pt>
                  <c:pt idx="21">
                    <c:v>Female</c:v>
                  </c:pt>
                  <c:pt idx="22">
                    <c:v>Other</c:v>
                  </c:pt>
                  <c:pt idx="23">
                    <c:v>Female</c:v>
                  </c:pt>
                  <c:pt idx="24">
                    <c:v>Male</c:v>
                  </c:pt>
                  <c:pt idx="25">
                    <c:v>Male</c:v>
                  </c:pt>
                  <c:pt idx="26">
                    <c:v>Male</c:v>
                  </c:pt>
                  <c:pt idx="27">
                    <c:v>Male</c:v>
                  </c:pt>
                  <c:pt idx="28">
                    <c:v>Other</c:v>
                  </c:pt>
                  <c:pt idx="29">
                    <c:v>Female</c:v>
                  </c:pt>
                </c:lvl>
                <c:lvl>
                  <c:pt idx="0">
                    <c:v>46</c:v>
                  </c:pt>
                  <c:pt idx="1">
                    <c:v>59</c:v>
                  </c:pt>
                  <c:pt idx="2">
                    <c:v>61</c:v>
                  </c:pt>
                  <c:pt idx="3">
                    <c:v>69</c:v>
                  </c:pt>
                  <c:pt idx="4">
                    <c:v>29</c:v>
                  </c:pt>
                  <c:pt idx="5">
                    <c:v>60</c:v>
                  </c:pt>
                  <c:pt idx="6">
                    <c:v>69</c:v>
                  </c:pt>
                  <c:pt idx="7">
                    <c:v>45</c:v>
                  </c:pt>
                  <c:pt idx="8">
                    <c:v>37</c:v>
                  </c:pt>
                  <c:pt idx="9">
                    <c:v>67</c:v>
                  </c:pt>
                  <c:pt idx="10">
                    <c:v>36</c:v>
                  </c:pt>
                  <c:pt idx="11">
                    <c:v>61</c:v>
                  </c:pt>
                  <c:pt idx="12">
                    <c:v>65</c:v>
                  </c:pt>
                  <c:pt idx="13">
                    <c:v>35</c:v>
                  </c:pt>
                  <c:pt idx="14">
                    <c:v>20</c:v>
                  </c:pt>
                  <c:pt idx="15">
                    <c:v>46</c:v>
                  </c:pt>
                  <c:pt idx="16">
                    <c:v>21</c:v>
                  </c:pt>
                  <c:pt idx="17">
                    <c:v>23</c:v>
                  </c:pt>
                  <c:pt idx="18">
                    <c:v>52</c:v>
                  </c:pt>
                  <c:pt idx="19">
                    <c:v>46</c:v>
                  </c:pt>
                  <c:pt idx="20">
                    <c:v>60</c:v>
                  </c:pt>
                  <c:pt idx="21">
                    <c:v>54</c:v>
                  </c:pt>
                  <c:pt idx="22">
                    <c:v>29</c:v>
                  </c:pt>
                  <c:pt idx="23">
                    <c:v>45</c:v>
                  </c:pt>
                  <c:pt idx="24">
                    <c:v>38</c:v>
                  </c:pt>
                  <c:pt idx="25">
                    <c:v>52</c:v>
                  </c:pt>
                  <c:pt idx="26">
                    <c:v>66</c:v>
                  </c:pt>
                  <c:pt idx="27">
                    <c:v>34</c:v>
                  </c:pt>
                  <c:pt idx="28">
                    <c:v>52</c:v>
                  </c:pt>
                  <c:pt idx="29">
                    <c:v>68</c:v>
                  </c:pt>
                </c:lvl>
                <c:lvl>
                  <c:pt idx="0">
                    <c:v>New Juan</c:v>
                  </c:pt>
                  <c:pt idx="1">
                    <c:v>South Julie</c:v>
                  </c:pt>
                  <c:pt idx="2">
                    <c:v>West Carrieview</c:v>
                  </c:pt>
                  <c:pt idx="3">
                    <c:v>Christianberg</c:v>
                  </c:pt>
                  <c:pt idx="4">
                    <c:v>South Williamhaven</c:v>
                  </c:pt>
                  <c:pt idx="5">
                    <c:v>Stephenfort</c:v>
                  </c:pt>
                  <c:pt idx="6">
                    <c:v>North Terristad</c:v>
                  </c:pt>
                  <c:pt idx="7">
                    <c:v>Pachecotown</c:v>
                  </c:pt>
                  <c:pt idx="8">
                    <c:v>Port Philipberg</c:v>
                  </c:pt>
                  <c:pt idx="9">
                    <c:v>Jenniferfurt</c:v>
                  </c:pt>
                  <c:pt idx="10">
                    <c:v>Lake Carolyn</c:v>
                  </c:pt>
                  <c:pt idx="11">
                    <c:v>Amandaborough</c:v>
                  </c:pt>
                  <c:pt idx="12">
                    <c:v>South Maria</c:v>
                  </c:pt>
                  <c:pt idx="13">
                    <c:v>West Marissa</c:v>
                  </c:pt>
                  <c:pt idx="14">
                    <c:v>Austinburgh</c:v>
                  </c:pt>
                  <c:pt idx="15">
                    <c:v>Lake Jesse</c:v>
                  </c:pt>
                  <c:pt idx="16">
                    <c:v>Marioburgh</c:v>
                  </c:pt>
                  <c:pt idx="17">
                    <c:v>Ryanhaven</c:v>
                  </c:pt>
                  <c:pt idx="18">
                    <c:v>Dickersonmouth</c:v>
                  </c:pt>
                  <c:pt idx="19">
                    <c:v>Annaborough</c:v>
                  </c:pt>
                  <c:pt idx="20">
                    <c:v>Ramirezburgh</c:v>
                  </c:pt>
                  <c:pt idx="21">
                    <c:v>Sextonberg</c:v>
                  </c:pt>
                  <c:pt idx="22">
                    <c:v>Beasleyshire</c:v>
                  </c:pt>
                  <c:pt idx="23">
                    <c:v>Lake Brittneyland</c:v>
                  </c:pt>
                  <c:pt idx="24">
                    <c:v>South John</c:v>
                  </c:pt>
                  <c:pt idx="25">
                    <c:v>New Devin</c:v>
                  </c:pt>
                  <c:pt idx="26">
                    <c:v>Lake Denise</c:v>
                  </c:pt>
                  <c:pt idx="27">
                    <c:v>South Susan</c:v>
                  </c:pt>
                  <c:pt idx="28">
                    <c:v>Johnsonchester</c:v>
                  </c:pt>
                  <c:pt idx="29">
                    <c:v>Martinberg</c:v>
                  </c:pt>
                </c:lvl>
                <c:lvl>
                  <c:pt idx="0">
                    <c:v>22-12-2023 10:35</c:v>
                  </c:pt>
                  <c:pt idx="1">
                    <c:v>05-05-2024 10:40</c:v>
                  </c:pt>
                  <c:pt idx="2">
                    <c:v>04-12-2023 05:22</c:v>
                  </c:pt>
                  <c:pt idx="3">
                    <c:v>02-01-2024 11:11</c:v>
                  </c:pt>
                  <c:pt idx="4">
                    <c:v>18-06-2024 01:01</c:v>
                  </c:pt>
                  <c:pt idx="5">
                    <c:v>06-03-2024 06:15</c:v>
                  </c:pt>
                  <c:pt idx="6">
                    <c:v>15-10-2023 13:30</c:v>
                  </c:pt>
                  <c:pt idx="7">
                    <c:v>16-05-2024 01:46</c:v>
                  </c:pt>
                  <c:pt idx="8">
                    <c:v>04-08-2024 17:13</c:v>
                  </c:pt>
                  <c:pt idx="9">
                    <c:v>18-12-2023 18:38</c:v>
                  </c:pt>
                  <c:pt idx="10">
                    <c:v>26-05-2024 02:56</c:v>
                  </c:pt>
                  <c:pt idx="11">
                    <c:v>26-09-2023 05:18</c:v>
                  </c:pt>
                  <c:pt idx="12">
                    <c:v>13-12-2023 23:53</c:v>
                  </c:pt>
                  <c:pt idx="13">
                    <c:v>02-12-2023 07:44</c:v>
                  </c:pt>
                  <c:pt idx="14">
                    <c:v>01-03-2024 17:49</c:v>
                  </c:pt>
                  <c:pt idx="15">
                    <c:v>12-08-2024 12:13</c:v>
                  </c:pt>
                  <c:pt idx="16">
                    <c:v>24-07-2024 08:49</c:v>
                  </c:pt>
                  <c:pt idx="17">
                    <c:v>14-06-2024 18:03</c:v>
                  </c:pt>
                  <c:pt idx="18">
                    <c:v>02-03-2024 05:18</c:v>
                  </c:pt>
                  <c:pt idx="19">
                    <c:v>19-05-2024 13:22</c:v>
                  </c:pt>
                  <c:pt idx="20">
                    <c:v>13-05-2024 10:04</c:v>
                  </c:pt>
                  <c:pt idx="21">
                    <c:v>05-04-2024 20:50</c:v>
                  </c:pt>
                  <c:pt idx="22">
                    <c:v>17-11-2023 05:30</c:v>
                  </c:pt>
                  <c:pt idx="23">
                    <c:v>05-08-2024 14:07</c:v>
                  </c:pt>
                  <c:pt idx="24">
                    <c:v>24-02-2024 01:14</c:v>
                  </c:pt>
                  <c:pt idx="25">
                    <c:v>04-03-2024 09:18</c:v>
                  </c:pt>
                  <c:pt idx="26">
                    <c:v>26-10-2023 07:12</c:v>
                  </c:pt>
                  <c:pt idx="27">
                    <c:v>04-08-2024 12:39</c:v>
                  </c:pt>
                  <c:pt idx="28">
                    <c:v>06-05-2024 01:39</c:v>
                  </c:pt>
                  <c:pt idx="29">
                    <c:v>23-10-2023 11:34</c:v>
                  </c:pt>
                </c:lvl>
                <c:lvl>
                  <c:pt idx="0">
                    <c:v>0.13</c:v>
                  </c:pt>
                  <c:pt idx="1">
                    <c:v>0.06</c:v>
                  </c:pt>
                  <c:pt idx="2">
                    <c:v>0.24</c:v>
                  </c:pt>
                  <c:pt idx="3">
                    <c:v>0.01</c:v>
                  </c:pt>
                  <c:pt idx="4">
                    <c:v>0.14</c:v>
                  </c:pt>
                  <c:pt idx="5">
                    <c:v>0.18</c:v>
                  </c:pt>
                  <c:pt idx="6">
                    <c:v>0.09</c:v>
                  </c:pt>
                  <c:pt idx="7">
                    <c:v>0.29</c:v>
                  </c:pt>
                  <c:pt idx="8">
                    <c:v>0.12</c:v>
                  </c:pt>
                  <c:pt idx="9">
                    <c:v>0.23</c:v>
                  </c:pt>
                  <c:pt idx="10">
                    <c:v>0.06</c:v>
                  </c:pt>
                  <c:pt idx="11">
                    <c:v>0.05</c:v>
                  </c:pt>
                  <c:pt idx="12">
                    <c:v>0.25</c:v>
                  </c:pt>
                  <c:pt idx="13">
                    <c:v>0.15</c:v>
                  </c:pt>
                  <c:pt idx="14">
                    <c:v>0.26</c:v>
                  </c:pt>
                  <c:pt idx="15">
                    <c:v>0.22</c:v>
                  </c:pt>
                  <c:pt idx="16">
                    <c:v>0.19</c:v>
                  </c:pt>
                  <c:pt idx="17">
                    <c:v>0.26</c:v>
                  </c:pt>
                  <c:pt idx="18">
                    <c:v>0.12</c:v>
                  </c:pt>
                  <c:pt idx="19">
                    <c:v>0.28</c:v>
                  </c:pt>
                  <c:pt idx="20">
                    <c:v>0.04</c:v>
                  </c:pt>
                  <c:pt idx="21">
                    <c:v>0.04</c:v>
                  </c:pt>
                  <c:pt idx="22">
                    <c:v>0.04</c:v>
                  </c:pt>
                  <c:pt idx="23">
                    <c:v>0.15</c:v>
                  </c:pt>
                  <c:pt idx="24">
                    <c:v>0.28</c:v>
                  </c:pt>
                  <c:pt idx="25">
                    <c:v>0.2</c:v>
                  </c:pt>
                  <c:pt idx="26">
                    <c:v>0.11</c:v>
                  </c:pt>
                  <c:pt idx="27">
                    <c:v>0.05</c:v>
                  </c:pt>
                  <c:pt idx="28">
                    <c:v>0.11</c:v>
                  </c:pt>
                  <c:pt idx="29">
                    <c:v>0.01</c:v>
                  </c:pt>
                </c:lvl>
                <c:lvl>
                  <c:pt idx="0">
                    <c:v>801.66</c:v>
                  </c:pt>
                  <c:pt idx="1">
                    <c:v>225.03</c:v>
                  </c:pt>
                  <c:pt idx="2">
                    <c:v>544.99</c:v>
                  </c:pt>
                  <c:pt idx="3">
                    <c:v>157.02</c:v>
                  </c:pt>
                  <c:pt idx="4">
                    <c:v>155.51</c:v>
                  </c:pt>
                  <c:pt idx="5">
                    <c:v>225.65</c:v>
                  </c:pt>
                  <c:pt idx="6">
                    <c:v>631.96</c:v>
                  </c:pt>
                  <c:pt idx="7">
                    <c:v>522.87</c:v>
                  </c:pt>
                  <c:pt idx="8">
                    <c:v>202.66</c:v>
                  </c:pt>
                  <c:pt idx="9">
                    <c:v>401.52</c:v>
                  </c:pt>
                  <c:pt idx="10">
                    <c:v>346.31</c:v>
                  </c:pt>
                  <c:pt idx="11">
                    <c:v>434.15</c:v>
                  </c:pt>
                  <c:pt idx="12">
                    <c:v>189.87</c:v>
                  </c:pt>
                  <c:pt idx="13">
                    <c:v>559.1</c:v>
                  </c:pt>
                  <c:pt idx="14">
                    <c:v>29.01</c:v>
                  </c:pt>
                  <c:pt idx="15">
                    <c:v>541.5</c:v>
                  </c:pt>
                  <c:pt idx="16">
                    <c:v>218.68</c:v>
                  </c:pt>
                  <c:pt idx="17">
                    <c:v>439.07</c:v>
                  </c:pt>
                  <c:pt idx="18">
                    <c:v>849.82</c:v>
                  </c:pt>
                  <c:pt idx="19">
                    <c:v>886.69</c:v>
                  </c:pt>
                  <c:pt idx="20">
                    <c:v>137.79</c:v>
                  </c:pt>
                  <c:pt idx="21">
                    <c:v>6.58</c:v>
                  </c:pt>
                  <c:pt idx="22">
                    <c:v>888.2</c:v>
                  </c:pt>
                  <c:pt idx="23">
                    <c:v>109.35</c:v>
                  </c:pt>
                  <c:pt idx="24">
                    <c:v>144.08</c:v>
                  </c:pt>
                  <c:pt idx="25">
                    <c:v>576.59</c:v>
                  </c:pt>
                  <c:pt idx="26">
                    <c:v>954.41</c:v>
                  </c:pt>
                  <c:pt idx="27">
                    <c:v>513.82</c:v>
                  </c:pt>
                  <c:pt idx="28">
                    <c:v>767.89</c:v>
                  </c:pt>
                  <c:pt idx="29">
                    <c:v>653.79</c:v>
                  </c:pt>
                </c:lvl>
                <c:lvl>
                  <c:pt idx="0">
                    <c:v>Cash on Delivery</c:v>
                  </c:pt>
                  <c:pt idx="1">
                    <c:v>Debit Card</c:v>
                  </c:pt>
                  <c:pt idx="2">
                    <c:v>Debit Card</c:v>
                  </c:pt>
                  <c:pt idx="3">
                    <c:v>Bank Transfer</c:v>
                  </c:pt>
                  <c:pt idx="4">
                    <c:v>Debit Card</c:v>
                  </c:pt>
                  <c:pt idx="5">
                    <c:v>Bank Transfer</c:v>
                  </c:pt>
                  <c:pt idx="6">
                    <c:v>Credit Card</c:v>
                  </c:pt>
                  <c:pt idx="7">
                    <c:v>Cash on Delivery</c:v>
                  </c:pt>
                  <c:pt idx="8">
                    <c:v>Cash on Delivery</c:v>
                  </c:pt>
                  <c:pt idx="9">
                    <c:v>Cash on Delivery</c:v>
                  </c:pt>
                  <c:pt idx="10">
                    <c:v>Cash on Delivery</c:v>
                  </c:pt>
                  <c:pt idx="11">
                    <c:v>Bank Transfer</c:v>
                  </c:pt>
                  <c:pt idx="12">
                    <c:v>Credit Card</c:v>
                  </c:pt>
                  <c:pt idx="13">
                    <c:v>Debit Card</c:v>
                  </c:pt>
                  <c:pt idx="14">
                    <c:v>Cash on Delivery</c:v>
                  </c:pt>
                  <c:pt idx="15">
                    <c:v>Bank Transfer</c:v>
                  </c:pt>
                  <c:pt idx="16">
                    <c:v>Credit Card</c:v>
                  </c:pt>
                  <c:pt idx="17">
                    <c:v>PayPal</c:v>
                  </c:pt>
                  <c:pt idx="18">
                    <c:v>Cash on Delivery</c:v>
                  </c:pt>
                  <c:pt idx="19">
                    <c:v>Debit Card</c:v>
                  </c:pt>
                  <c:pt idx="20">
                    <c:v>Credit Card</c:v>
                  </c:pt>
                  <c:pt idx="21">
                    <c:v>PayPal</c:v>
                  </c:pt>
                  <c:pt idx="22">
                    <c:v>Cash on Delivery</c:v>
                  </c:pt>
                  <c:pt idx="23">
                    <c:v>Debit Card</c:v>
                  </c:pt>
                  <c:pt idx="24">
                    <c:v>Cash on Delivery</c:v>
                  </c:pt>
                  <c:pt idx="25">
                    <c:v>Bank Transfer</c:v>
                  </c:pt>
                  <c:pt idx="26">
                    <c:v>PayPal</c:v>
                  </c:pt>
                  <c:pt idx="27">
                    <c:v>Credit Card</c:v>
                  </c:pt>
                  <c:pt idx="28">
                    <c:v>Credit Card</c:v>
                  </c:pt>
                  <c:pt idx="29">
                    <c:v>Cash on Delivery</c:v>
                  </c:pt>
                </c:lvl>
                <c:lvl>
                  <c:pt idx="0">
                    <c:v>Clothing</c:v>
                  </c:pt>
                  <c:pt idx="1">
                    <c:v>Beauty</c:v>
                  </c:pt>
                  <c:pt idx="2">
                    <c:v>Toys</c:v>
                  </c:pt>
                  <c:pt idx="3">
                    <c:v>Beauty</c:v>
                  </c:pt>
                  <c:pt idx="4">
                    <c:v>Electronics</c:v>
                  </c:pt>
                  <c:pt idx="5">
                    <c:v>Books</c:v>
                  </c:pt>
                  <c:pt idx="6">
                    <c:v>Beauty</c:v>
                  </c:pt>
                  <c:pt idx="7">
                    <c:v>Sports</c:v>
                  </c:pt>
                  <c:pt idx="8">
                    <c:v>Books</c:v>
                  </c:pt>
                  <c:pt idx="9">
                    <c:v>Toys</c:v>
                  </c:pt>
                  <c:pt idx="10">
                    <c:v>Clothing</c:v>
                  </c:pt>
                  <c:pt idx="11">
                    <c:v>Sports</c:v>
                  </c:pt>
                  <c:pt idx="12">
                    <c:v>Electronics</c:v>
                  </c:pt>
                  <c:pt idx="13">
                    <c:v>Home &amp; Kitchen</c:v>
                  </c:pt>
                  <c:pt idx="14">
                    <c:v>Toys</c:v>
                  </c:pt>
                  <c:pt idx="15">
                    <c:v>Toys</c:v>
                  </c:pt>
                  <c:pt idx="16">
                    <c:v>Beauty</c:v>
                  </c:pt>
                  <c:pt idx="17">
                    <c:v>Clothing</c:v>
                  </c:pt>
                  <c:pt idx="18">
                    <c:v>Books</c:v>
                  </c:pt>
                  <c:pt idx="19">
                    <c:v>Electronics</c:v>
                  </c:pt>
                  <c:pt idx="20">
                    <c:v>Toys</c:v>
                  </c:pt>
                  <c:pt idx="21">
                    <c:v>Electronics</c:v>
                  </c:pt>
                  <c:pt idx="22">
                    <c:v>Toys</c:v>
                  </c:pt>
                  <c:pt idx="23">
                    <c:v>Toys</c:v>
                  </c:pt>
                  <c:pt idx="24">
                    <c:v>Electronics</c:v>
                  </c:pt>
                  <c:pt idx="25">
                    <c:v>Sports</c:v>
                  </c:pt>
                  <c:pt idx="26">
                    <c:v>Electronics</c:v>
                  </c:pt>
                  <c:pt idx="27">
                    <c:v>Home &amp; Kitchen</c:v>
                  </c:pt>
                  <c:pt idx="28">
                    <c:v>Sports</c:v>
                  </c:pt>
                  <c:pt idx="29">
                    <c:v>Beauty</c:v>
                  </c:pt>
                </c:lvl>
                <c:lvl>
                  <c:pt idx="0">
                    <c:v>295</c:v>
                  </c:pt>
                  <c:pt idx="1">
                    <c:v>546</c:v>
                  </c:pt>
                  <c:pt idx="2">
                    <c:v>430</c:v>
                  </c:pt>
                  <c:pt idx="3">
                    <c:v>807</c:v>
                  </c:pt>
                  <c:pt idx="4">
                    <c:v>319</c:v>
                  </c:pt>
                  <c:pt idx="5">
                    <c:v>282</c:v>
                  </c:pt>
                  <c:pt idx="6">
                    <c:v>276</c:v>
                  </c:pt>
                  <c:pt idx="7">
                    <c:v>574</c:v>
                  </c:pt>
                  <c:pt idx="8">
                    <c:v>948</c:v>
                  </c:pt>
                  <c:pt idx="9">
                    <c:v>459</c:v>
                  </c:pt>
                  <c:pt idx="10">
                    <c:v>745</c:v>
                  </c:pt>
                  <c:pt idx="11">
                    <c:v>564</c:v>
                  </c:pt>
                  <c:pt idx="12">
                    <c:v>334</c:v>
                  </c:pt>
                  <c:pt idx="13">
                    <c:v>536</c:v>
                  </c:pt>
                  <c:pt idx="14">
                    <c:v>239</c:v>
                  </c:pt>
                  <c:pt idx="15">
                    <c:v>587</c:v>
                  </c:pt>
                  <c:pt idx="16">
                    <c:v>868</c:v>
                  </c:pt>
                  <c:pt idx="17">
                    <c:v>384</c:v>
                  </c:pt>
                  <c:pt idx="18">
                    <c:v>701</c:v>
                  </c:pt>
                  <c:pt idx="19">
                    <c:v>427</c:v>
                  </c:pt>
                  <c:pt idx="20">
                    <c:v>150</c:v>
                  </c:pt>
                  <c:pt idx="21">
                    <c:v>797</c:v>
                  </c:pt>
                  <c:pt idx="22">
                    <c:v>577</c:v>
                  </c:pt>
                  <c:pt idx="23">
                    <c:v>385</c:v>
                  </c:pt>
                  <c:pt idx="24">
                    <c:v>419</c:v>
                  </c:pt>
                  <c:pt idx="25">
                    <c:v>733</c:v>
                  </c:pt>
                  <c:pt idx="26">
                    <c:v>278</c:v>
                  </c:pt>
                  <c:pt idx="27">
                    <c:v>231</c:v>
                  </c:pt>
                  <c:pt idx="28">
                    <c:v>699</c:v>
                  </c:pt>
                  <c:pt idx="29">
                    <c:v>829</c:v>
                  </c:pt>
                </c:lvl>
                <c:lvl>
                  <c:pt idx="0">
                    <c:v>8270</c:v>
                  </c:pt>
                  <c:pt idx="1">
                    <c:v>1860</c:v>
                  </c:pt>
                  <c:pt idx="2">
                    <c:v>6390</c:v>
                  </c:pt>
                  <c:pt idx="3">
                    <c:v>6191</c:v>
                  </c:pt>
                  <c:pt idx="4">
                    <c:v>6734</c:v>
                  </c:pt>
                  <c:pt idx="5">
                    <c:v>7265</c:v>
                  </c:pt>
                  <c:pt idx="6">
                    <c:v>1466</c:v>
                  </c:pt>
                  <c:pt idx="7">
                    <c:v>5426</c:v>
                  </c:pt>
                  <c:pt idx="8">
                    <c:v>6578</c:v>
                  </c:pt>
                  <c:pt idx="9">
                    <c:v>9322</c:v>
                  </c:pt>
                  <c:pt idx="10">
                    <c:v>2685</c:v>
                  </c:pt>
                  <c:pt idx="11">
                    <c:v>1769</c:v>
                  </c:pt>
                  <c:pt idx="12">
                    <c:v>7949</c:v>
                  </c:pt>
                  <c:pt idx="13">
                    <c:v>3433</c:v>
                  </c:pt>
                  <c:pt idx="14">
                    <c:v>6311</c:v>
                  </c:pt>
                  <c:pt idx="15">
                    <c:v>6051</c:v>
                  </c:pt>
                  <c:pt idx="16">
                    <c:v>7420</c:v>
                  </c:pt>
                  <c:pt idx="17">
                    <c:v>2184</c:v>
                  </c:pt>
                  <c:pt idx="18">
                    <c:v>5555</c:v>
                  </c:pt>
                  <c:pt idx="19">
                    <c:v>4385</c:v>
                  </c:pt>
                  <c:pt idx="20">
                    <c:v>7396</c:v>
                  </c:pt>
                  <c:pt idx="21">
                    <c:v>9666</c:v>
                  </c:pt>
                  <c:pt idx="22">
                    <c:v>3558</c:v>
                  </c:pt>
                  <c:pt idx="23">
                    <c:v>8849</c:v>
                  </c:pt>
                  <c:pt idx="24">
                    <c:v>3047</c:v>
                  </c:pt>
                  <c:pt idx="25">
                    <c:v>3747</c:v>
                  </c:pt>
                  <c:pt idx="26">
                    <c:v>1189</c:v>
                  </c:pt>
                  <c:pt idx="27">
                    <c:v>3734</c:v>
                  </c:pt>
                  <c:pt idx="28">
                    <c:v>4005</c:v>
                  </c:pt>
                  <c:pt idx="29">
                    <c:v>5658</c:v>
                  </c:pt>
                </c:lvl>
                <c:lvl>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lvl>
              </c:multiLvlStrCache>
            </c:multiLvlStrRef>
          </c:xVal>
          <c:yVal>
            <c:numRef>
              <c:f>ecommerce_sales_data!$O$2:$O$31</c:f>
              <c:numCache>
                <c:formatCode>General</c:formatCode>
                <c:ptCount val="30"/>
                <c:pt idx="0">
                  <c:v>1</c:v>
                </c:pt>
                <c:pt idx="1">
                  <c:v>1</c:v>
                </c:pt>
                <c:pt idx="2">
                  <c:v>2</c:v>
                </c:pt>
                <c:pt idx="3">
                  <c:v>2</c:v>
                </c:pt>
                <c:pt idx="4">
                  <c:v>2</c:v>
                </c:pt>
                <c:pt idx="5">
                  <c:v>3</c:v>
                </c:pt>
                <c:pt idx="6">
                  <c:v>3</c:v>
                </c:pt>
                <c:pt idx="7">
                  <c:v>1</c:v>
                </c:pt>
                <c:pt idx="8">
                  <c:v>4</c:v>
                </c:pt>
                <c:pt idx="9">
                  <c:v>3</c:v>
                </c:pt>
                <c:pt idx="10">
                  <c:v>3</c:v>
                </c:pt>
                <c:pt idx="11">
                  <c:v>1</c:v>
                </c:pt>
                <c:pt idx="12">
                  <c:v>3</c:v>
                </c:pt>
                <c:pt idx="13">
                  <c:v>1</c:v>
                </c:pt>
                <c:pt idx="14">
                  <c:v>3</c:v>
                </c:pt>
                <c:pt idx="15">
                  <c:v>2</c:v>
                </c:pt>
                <c:pt idx="16">
                  <c:v>4</c:v>
                </c:pt>
                <c:pt idx="17">
                  <c:v>2</c:v>
                </c:pt>
                <c:pt idx="18">
                  <c:v>4</c:v>
                </c:pt>
                <c:pt idx="19">
                  <c:v>1</c:v>
                </c:pt>
                <c:pt idx="20">
                  <c:v>2</c:v>
                </c:pt>
                <c:pt idx="21">
                  <c:v>4</c:v>
                </c:pt>
                <c:pt idx="22">
                  <c:v>3</c:v>
                </c:pt>
                <c:pt idx="23">
                  <c:v>4</c:v>
                </c:pt>
                <c:pt idx="24">
                  <c:v>4</c:v>
                </c:pt>
                <c:pt idx="25">
                  <c:v>4</c:v>
                </c:pt>
                <c:pt idx="26">
                  <c:v>3</c:v>
                </c:pt>
                <c:pt idx="27">
                  <c:v>3</c:v>
                </c:pt>
                <c:pt idx="28">
                  <c:v>1</c:v>
                </c:pt>
                <c:pt idx="29">
                  <c:v>4</c:v>
                </c:pt>
              </c:numCache>
            </c:numRef>
          </c:yVal>
          <c:smooth val="0"/>
          <c:extLst>
            <c:ext xmlns:c16="http://schemas.microsoft.com/office/drawing/2014/chart" uri="{C3380CC4-5D6E-409C-BE32-E72D297353CC}">
              <c16:uniqueId val="{00000000-03D2-455C-9ABC-87082F40F826}"/>
            </c:ext>
          </c:extLst>
        </c:ser>
        <c:ser>
          <c:idx val="1"/>
          <c:order val="1"/>
          <c:tx>
            <c:strRef>
              <c:f>ecommerce_sales_data!$P$1</c:f>
              <c:strCache>
                <c:ptCount val="1"/>
                <c:pt idx="0">
                  <c:v>encode</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multiLvlStrRef>
              <c:f>ecommerce_sales_data!$A$2:$N$31</c:f>
              <c:multiLvlStrCache>
                <c:ptCount val="30"/>
                <c:lvl>
                  <c:pt idx="0">
                    <c:v>83.36</c:v>
                  </c:pt>
                  <c:pt idx="1">
                    <c:v>58.88</c:v>
                  </c:pt>
                  <c:pt idx="2">
                    <c:v>53.99</c:v>
                  </c:pt>
                  <c:pt idx="3">
                    <c:v>11.73</c:v>
                  </c:pt>
                  <c:pt idx="4">
                    <c:v>34.79</c:v>
                  </c:pt>
                  <c:pt idx="5">
                    <c:v>25.78</c:v>
                  </c:pt>
                  <c:pt idx="6">
                    <c:v>68.36</c:v>
                  </c:pt>
                  <c:pt idx="7">
                    <c:v>19.23</c:v>
                  </c:pt>
                  <c:pt idx="8">
                    <c:v>28.61</c:v>
                  </c:pt>
                  <c:pt idx="9">
                    <c:v>35.18</c:v>
                  </c:pt>
                  <c:pt idx="10">
                    <c:v>76.82</c:v>
                  </c:pt>
                  <c:pt idx="11">
                    <c:v>26.24</c:v>
                  </c:pt>
                  <c:pt idx="12">
                    <c:v>39.91</c:v>
                  </c:pt>
                  <c:pt idx="13">
                    <c:v>69.39</c:v>
                  </c:pt>
                  <c:pt idx="14">
                    <c:v>10.33</c:v>
                  </c:pt>
                  <c:pt idx="15">
                    <c:v>41.77</c:v>
                  </c:pt>
                  <c:pt idx="16">
                    <c:v>9.93</c:v>
                  </c:pt>
                  <c:pt idx="17">
                    <c:v>97.73</c:v>
                  </c:pt>
                  <c:pt idx="18">
                    <c:v>54.32</c:v>
                  </c:pt>
                  <c:pt idx="19">
                    <c:v>57.35</c:v>
                  </c:pt>
                  <c:pt idx="20">
                    <c:v>41.08</c:v>
                  </c:pt>
                  <c:pt idx="21">
                    <c:v>88.02</c:v>
                  </c:pt>
                  <c:pt idx="22">
                    <c:v>67.51</c:v>
                  </c:pt>
                  <c:pt idx="23">
                    <c:v>18.76</c:v>
                  </c:pt>
                  <c:pt idx="24">
                    <c:v>33.4</c:v>
                  </c:pt>
                  <c:pt idx="25">
                    <c:v>21.91</c:v>
                  </c:pt>
                  <c:pt idx="26">
                    <c:v>81.49</c:v>
                  </c:pt>
                  <c:pt idx="27">
                    <c:v>77.27</c:v>
                  </c:pt>
                  <c:pt idx="28">
                    <c:v>26.78</c:v>
                  </c:pt>
                  <c:pt idx="29">
                    <c:v>39.34</c:v>
                  </c:pt>
                </c:lvl>
                <c:lvl>
                  <c:pt idx="0">
                    <c:v>Medium</c:v>
                  </c:pt>
                  <c:pt idx="1">
                    <c:v>High</c:v>
                  </c:pt>
                  <c:pt idx="2">
                    <c:v>High</c:v>
                  </c:pt>
                  <c:pt idx="3">
                    <c:v>Low</c:v>
                  </c:pt>
                  <c:pt idx="4">
                    <c:v>High</c:v>
                  </c:pt>
                  <c:pt idx="5">
                    <c:v>High</c:v>
                  </c:pt>
                  <c:pt idx="6">
                    <c:v>Low</c:v>
                  </c:pt>
                  <c:pt idx="7">
                    <c:v>High</c:v>
                  </c:pt>
                  <c:pt idx="8">
                    <c:v>Low</c:v>
                  </c:pt>
                  <c:pt idx="9">
                    <c:v>Low</c:v>
                  </c:pt>
                  <c:pt idx="10">
                    <c:v>Low</c:v>
                  </c:pt>
                  <c:pt idx="11">
                    <c:v>High</c:v>
                  </c:pt>
                  <c:pt idx="12">
                    <c:v>Low</c:v>
                  </c:pt>
                  <c:pt idx="13">
                    <c:v>Low</c:v>
                  </c:pt>
                  <c:pt idx="14">
                    <c:v>High</c:v>
                  </c:pt>
                  <c:pt idx="15">
                    <c:v>Low</c:v>
                  </c:pt>
                  <c:pt idx="16">
                    <c:v>Medium</c:v>
                  </c:pt>
                  <c:pt idx="17">
                    <c:v>Medium</c:v>
                  </c:pt>
                  <c:pt idx="18">
                    <c:v>Low</c:v>
                  </c:pt>
                  <c:pt idx="19">
                    <c:v>Low</c:v>
                  </c:pt>
                  <c:pt idx="20">
                    <c:v>Medium</c:v>
                  </c:pt>
                  <c:pt idx="21">
                    <c:v>Medium</c:v>
                  </c:pt>
                  <c:pt idx="22">
                    <c:v>Medium</c:v>
                  </c:pt>
                  <c:pt idx="23">
                    <c:v>High</c:v>
                  </c:pt>
                  <c:pt idx="24">
                    <c:v>High</c:v>
                  </c:pt>
                  <c:pt idx="25">
                    <c:v>Low</c:v>
                  </c:pt>
                  <c:pt idx="26">
                    <c:v>Low</c:v>
                  </c:pt>
                  <c:pt idx="27">
                    <c:v>Low</c:v>
                  </c:pt>
                  <c:pt idx="28">
                    <c:v>High</c:v>
                  </c:pt>
                  <c:pt idx="29">
                    <c:v>Low</c:v>
                  </c:pt>
                </c:lvl>
                <c:lvl>
                  <c:pt idx="0">
                    <c:v>Female</c:v>
                  </c:pt>
                  <c:pt idx="1">
                    <c:v>Other</c:v>
                  </c:pt>
                  <c:pt idx="2">
                    <c:v>Female</c:v>
                  </c:pt>
                  <c:pt idx="3">
                    <c:v>Female</c:v>
                  </c:pt>
                  <c:pt idx="4">
                    <c:v>Other</c:v>
                  </c:pt>
                  <c:pt idx="5">
                    <c:v>Male</c:v>
                  </c:pt>
                  <c:pt idx="6">
                    <c:v>Male</c:v>
                  </c:pt>
                  <c:pt idx="7">
                    <c:v>Female</c:v>
                  </c:pt>
                  <c:pt idx="8">
                    <c:v>Male</c:v>
                  </c:pt>
                  <c:pt idx="9">
                    <c:v>Female</c:v>
                  </c:pt>
                  <c:pt idx="10">
                    <c:v>Other</c:v>
                  </c:pt>
                  <c:pt idx="11">
                    <c:v>Other</c:v>
                  </c:pt>
                  <c:pt idx="12">
                    <c:v>Other</c:v>
                  </c:pt>
                  <c:pt idx="13">
                    <c:v>Male</c:v>
                  </c:pt>
                  <c:pt idx="14">
                    <c:v>Other</c:v>
                  </c:pt>
                  <c:pt idx="15">
                    <c:v>Other</c:v>
                  </c:pt>
                  <c:pt idx="16">
                    <c:v>Other</c:v>
                  </c:pt>
                  <c:pt idx="17">
                    <c:v>Other</c:v>
                  </c:pt>
                  <c:pt idx="18">
                    <c:v>Female</c:v>
                  </c:pt>
                  <c:pt idx="19">
                    <c:v>Other</c:v>
                  </c:pt>
                  <c:pt idx="20">
                    <c:v>Male</c:v>
                  </c:pt>
                  <c:pt idx="21">
                    <c:v>Female</c:v>
                  </c:pt>
                  <c:pt idx="22">
                    <c:v>Other</c:v>
                  </c:pt>
                  <c:pt idx="23">
                    <c:v>Female</c:v>
                  </c:pt>
                  <c:pt idx="24">
                    <c:v>Male</c:v>
                  </c:pt>
                  <c:pt idx="25">
                    <c:v>Male</c:v>
                  </c:pt>
                  <c:pt idx="26">
                    <c:v>Male</c:v>
                  </c:pt>
                  <c:pt idx="27">
                    <c:v>Male</c:v>
                  </c:pt>
                  <c:pt idx="28">
                    <c:v>Other</c:v>
                  </c:pt>
                  <c:pt idx="29">
                    <c:v>Female</c:v>
                  </c:pt>
                </c:lvl>
                <c:lvl>
                  <c:pt idx="0">
                    <c:v>46</c:v>
                  </c:pt>
                  <c:pt idx="1">
                    <c:v>59</c:v>
                  </c:pt>
                  <c:pt idx="2">
                    <c:v>61</c:v>
                  </c:pt>
                  <c:pt idx="3">
                    <c:v>69</c:v>
                  </c:pt>
                  <c:pt idx="4">
                    <c:v>29</c:v>
                  </c:pt>
                  <c:pt idx="5">
                    <c:v>60</c:v>
                  </c:pt>
                  <c:pt idx="6">
                    <c:v>69</c:v>
                  </c:pt>
                  <c:pt idx="7">
                    <c:v>45</c:v>
                  </c:pt>
                  <c:pt idx="8">
                    <c:v>37</c:v>
                  </c:pt>
                  <c:pt idx="9">
                    <c:v>67</c:v>
                  </c:pt>
                  <c:pt idx="10">
                    <c:v>36</c:v>
                  </c:pt>
                  <c:pt idx="11">
                    <c:v>61</c:v>
                  </c:pt>
                  <c:pt idx="12">
                    <c:v>65</c:v>
                  </c:pt>
                  <c:pt idx="13">
                    <c:v>35</c:v>
                  </c:pt>
                  <c:pt idx="14">
                    <c:v>20</c:v>
                  </c:pt>
                  <c:pt idx="15">
                    <c:v>46</c:v>
                  </c:pt>
                  <c:pt idx="16">
                    <c:v>21</c:v>
                  </c:pt>
                  <c:pt idx="17">
                    <c:v>23</c:v>
                  </c:pt>
                  <c:pt idx="18">
                    <c:v>52</c:v>
                  </c:pt>
                  <c:pt idx="19">
                    <c:v>46</c:v>
                  </c:pt>
                  <c:pt idx="20">
                    <c:v>60</c:v>
                  </c:pt>
                  <c:pt idx="21">
                    <c:v>54</c:v>
                  </c:pt>
                  <c:pt idx="22">
                    <c:v>29</c:v>
                  </c:pt>
                  <c:pt idx="23">
                    <c:v>45</c:v>
                  </c:pt>
                  <c:pt idx="24">
                    <c:v>38</c:v>
                  </c:pt>
                  <c:pt idx="25">
                    <c:v>52</c:v>
                  </c:pt>
                  <c:pt idx="26">
                    <c:v>66</c:v>
                  </c:pt>
                  <c:pt idx="27">
                    <c:v>34</c:v>
                  </c:pt>
                  <c:pt idx="28">
                    <c:v>52</c:v>
                  </c:pt>
                  <c:pt idx="29">
                    <c:v>68</c:v>
                  </c:pt>
                </c:lvl>
                <c:lvl>
                  <c:pt idx="0">
                    <c:v>New Juan</c:v>
                  </c:pt>
                  <c:pt idx="1">
                    <c:v>South Julie</c:v>
                  </c:pt>
                  <c:pt idx="2">
                    <c:v>West Carrieview</c:v>
                  </c:pt>
                  <c:pt idx="3">
                    <c:v>Christianberg</c:v>
                  </c:pt>
                  <c:pt idx="4">
                    <c:v>South Williamhaven</c:v>
                  </c:pt>
                  <c:pt idx="5">
                    <c:v>Stephenfort</c:v>
                  </c:pt>
                  <c:pt idx="6">
                    <c:v>North Terristad</c:v>
                  </c:pt>
                  <c:pt idx="7">
                    <c:v>Pachecotown</c:v>
                  </c:pt>
                  <c:pt idx="8">
                    <c:v>Port Philipberg</c:v>
                  </c:pt>
                  <c:pt idx="9">
                    <c:v>Jenniferfurt</c:v>
                  </c:pt>
                  <c:pt idx="10">
                    <c:v>Lake Carolyn</c:v>
                  </c:pt>
                  <c:pt idx="11">
                    <c:v>Amandaborough</c:v>
                  </c:pt>
                  <c:pt idx="12">
                    <c:v>South Maria</c:v>
                  </c:pt>
                  <c:pt idx="13">
                    <c:v>West Marissa</c:v>
                  </c:pt>
                  <c:pt idx="14">
                    <c:v>Austinburgh</c:v>
                  </c:pt>
                  <c:pt idx="15">
                    <c:v>Lake Jesse</c:v>
                  </c:pt>
                  <c:pt idx="16">
                    <c:v>Marioburgh</c:v>
                  </c:pt>
                  <c:pt idx="17">
                    <c:v>Ryanhaven</c:v>
                  </c:pt>
                  <c:pt idx="18">
                    <c:v>Dickersonmouth</c:v>
                  </c:pt>
                  <c:pt idx="19">
                    <c:v>Annaborough</c:v>
                  </c:pt>
                  <c:pt idx="20">
                    <c:v>Ramirezburgh</c:v>
                  </c:pt>
                  <c:pt idx="21">
                    <c:v>Sextonberg</c:v>
                  </c:pt>
                  <c:pt idx="22">
                    <c:v>Beasleyshire</c:v>
                  </c:pt>
                  <c:pt idx="23">
                    <c:v>Lake Brittneyland</c:v>
                  </c:pt>
                  <c:pt idx="24">
                    <c:v>South John</c:v>
                  </c:pt>
                  <c:pt idx="25">
                    <c:v>New Devin</c:v>
                  </c:pt>
                  <c:pt idx="26">
                    <c:v>Lake Denise</c:v>
                  </c:pt>
                  <c:pt idx="27">
                    <c:v>South Susan</c:v>
                  </c:pt>
                  <c:pt idx="28">
                    <c:v>Johnsonchester</c:v>
                  </c:pt>
                  <c:pt idx="29">
                    <c:v>Martinberg</c:v>
                  </c:pt>
                </c:lvl>
                <c:lvl>
                  <c:pt idx="0">
                    <c:v>22-12-2023 10:35</c:v>
                  </c:pt>
                  <c:pt idx="1">
                    <c:v>05-05-2024 10:40</c:v>
                  </c:pt>
                  <c:pt idx="2">
                    <c:v>04-12-2023 05:22</c:v>
                  </c:pt>
                  <c:pt idx="3">
                    <c:v>02-01-2024 11:11</c:v>
                  </c:pt>
                  <c:pt idx="4">
                    <c:v>18-06-2024 01:01</c:v>
                  </c:pt>
                  <c:pt idx="5">
                    <c:v>06-03-2024 06:15</c:v>
                  </c:pt>
                  <c:pt idx="6">
                    <c:v>15-10-2023 13:30</c:v>
                  </c:pt>
                  <c:pt idx="7">
                    <c:v>16-05-2024 01:46</c:v>
                  </c:pt>
                  <c:pt idx="8">
                    <c:v>04-08-2024 17:13</c:v>
                  </c:pt>
                  <c:pt idx="9">
                    <c:v>18-12-2023 18:38</c:v>
                  </c:pt>
                  <c:pt idx="10">
                    <c:v>26-05-2024 02:56</c:v>
                  </c:pt>
                  <c:pt idx="11">
                    <c:v>26-09-2023 05:18</c:v>
                  </c:pt>
                  <c:pt idx="12">
                    <c:v>13-12-2023 23:53</c:v>
                  </c:pt>
                  <c:pt idx="13">
                    <c:v>02-12-2023 07:44</c:v>
                  </c:pt>
                  <c:pt idx="14">
                    <c:v>01-03-2024 17:49</c:v>
                  </c:pt>
                  <c:pt idx="15">
                    <c:v>12-08-2024 12:13</c:v>
                  </c:pt>
                  <c:pt idx="16">
                    <c:v>24-07-2024 08:49</c:v>
                  </c:pt>
                  <c:pt idx="17">
                    <c:v>14-06-2024 18:03</c:v>
                  </c:pt>
                  <c:pt idx="18">
                    <c:v>02-03-2024 05:18</c:v>
                  </c:pt>
                  <c:pt idx="19">
                    <c:v>19-05-2024 13:22</c:v>
                  </c:pt>
                  <c:pt idx="20">
                    <c:v>13-05-2024 10:04</c:v>
                  </c:pt>
                  <c:pt idx="21">
                    <c:v>05-04-2024 20:50</c:v>
                  </c:pt>
                  <c:pt idx="22">
                    <c:v>17-11-2023 05:30</c:v>
                  </c:pt>
                  <c:pt idx="23">
                    <c:v>05-08-2024 14:07</c:v>
                  </c:pt>
                  <c:pt idx="24">
                    <c:v>24-02-2024 01:14</c:v>
                  </c:pt>
                  <c:pt idx="25">
                    <c:v>04-03-2024 09:18</c:v>
                  </c:pt>
                  <c:pt idx="26">
                    <c:v>26-10-2023 07:12</c:v>
                  </c:pt>
                  <c:pt idx="27">
                    <c:v>04-08-2024 12:39</c:v>
                  </c:pt>
                  <c:pt idx="28">
                    <c:v>06-05-2024 01:39</c:v>
                  </c:pt>
                  <c:pt idx="29">
                    <c:v>23-10-2023 11:34</c:v>
                  </c:pt>
                </c:lvl>
                <c:lvl>
                  <c:pt idx="0">
                    <c:v>0.13</c:v>
                  </c:pt>
                  <c:pt idx="1">
                    <c:v>0.06</c:v>
                  </c:pt>
                  <c:pt idx="2">
                    <c:v>0.24</c:v>
                  </c:pt>
                  <c:pt idx="3">
                    <c:v>0.01</c:v>
                  </c:pt>
                  <c:pt idx="4">
                    <c:v>0.14</c:v>
                  </c:pt>
                  <c:pt idx="5">
                    <c:v>0.18</c:v>
                  </c:pt>
                  <c:pt idx="6">
                    <c:v>0.09</c:v>
                  </c:pt>
                  <c:pt idx="7">
                    <c:v>0.29</c:v>
                  </c:pt>
                  <c:pt idx="8">
                    <c:v>0.12</c:v>
                  </c:pt>
                  <c:pt idx="9">
                    <c:v>0.23</c:v>
                  </c:pt>
                  <c:pt idx="10">
                    <c:v>0.06</c:v>
                  </c:pt>
                  <c:pt idx="11">
                    <c:v>0.05</c:v>
                  </c:pt>
                  <c:pt idx="12">
                    <c:v>0.25</c:v>
                  </c:pt>
                  <c:pt idx="13">
                    <c:v>0.15</c:v>
                  </c:pt>
                  <c:pt idx="14">
                    <c:v>0.26</c:v>
                  </c:pt>
                  <c:pt idx="15">
                    <c:v>0.22</c:v>
                  </c:pt>
                  <c:pt idx="16">
                    <c:v>0.19</c:v>
                  </c:pt>
                  <c:pt idx="17">
                    <c:v>0.26</c:v>
                  </c:pt>
                  <c:pt idx="18">
                    <c:v>0.12</c:v>
                  </c:pt>
                  <c:pt idx="19">
                    <c:v>0.28</c:v>
                  </c:pt>
                  <c:pt idx="20">
                    <c:v>0.04</c:v>
                  </c:pt>
                  <c:pt idx="21">
                    <c:v>0.04</c:v>
                  </c:pt>
                  <c:pt idx="22">
                    <c:v>0.04</c:v>
                  </c:pt>
                  <c:pt idx="23">
                    <c:v>0.15</c:v>
                  </c:pt>
                  <c:pt idx="24">
                    <c:v>0.28</c:v>
                  </c:pt>
                  <c:pt idx="25">
                    <c:v>0.2</c:v>
                  </c:pt>
                  <c:pt idx="26">
                    <c:v>0.11</c:v>
                  </c:pt>
                  <c:pt idx="27">
                    <c:v>0.05</c:v>
                  </c:pt>
                  <c:pt idx="28">
                    <c:v>0.11</c:v>
                  </c:pt>
                  <c:pt idx="29">
                    <c:v>0.01</c:v>
                  </c:pt>
                </c:lvl>
                <c:lvl>
                  <c:pt idx="0">
                    <c:v>801.66</c:v>
                  </c:pt>
                  <c:pt idx="1">
                    <c:v>225.03</c:v>
                  </c:pt>
                  <c:pt idx="2">
                    <c:v>544.99</c:v>
                  </c:pt>
                  <c:pt idx="3">
                    <c:v>157.02</c:v>
                  </c:pt>
                  <c:pt idx="4">
                    <c:v>155.51</c:v>
                  </c:pt>
                  <c:pt idx="5">
                    <c:v>225.65</c:v>
                  </c:pt>
                  <c:pt idx="6">
                    <c:v>631.96</c:v>
                  </c:pt>
                  <c:pt idx="7">
                    <c:v>522.87</c:v>
                  </c:pt>
                  <c:pt idx="8">
                    <c:v>202.66</c:v>
                  </c:pt>
                  <c:pt idx="9">
                    <c:v>401.52</c:v>
                  </c:pt>
                  <c:pt idx="10">
                    <c:v>346.31</c:v>
                  </c:pt>
                  <c:pt idx="11">
                    <c:v>434.15</c:v>
                  </c:pt>
                  <c:pt idx="12">
                    <c:v>189.87</c:v>
                  </c:pt>
                  <c:pt idx="13">
                    <c:v>559.1</c:v>
                  </c:pt>
                  <c:pt idx="14">
                    <c:v>29.01</c:v>
                  </c:pt>
                  <c:pt idx="15">
                    <c:v>541.5</c:v>
                  </c:pt>
                  <c:pt idx="16">
                    <c:v>218.68</c:v>
                  </c:pt>
                  <c:pt idx="17">
                    <c:v>439.07</c:v>
                  </c:pt>
                  <c:pt idx="18">
                    <c:v>849.82</c:v>
                  </c:pt>
                  <c:pt idx="19">
                    <c:v>886.69</c:v>
                  </c:pt>
                  <c:pt idx="20">
                    <c:v>137.79</c:v>
                  </c:pt>
                  <c:pt idx="21">
                    <c:v>6.58</c:v>
                  </c:pt>
                  <c:pt idx="22">
                    <c:v>888.2</c:v>
                  </c:pt>
                  <c:pt idx="23">
                    <c:v>109.35</c:v>
                  </c:pt>
                  <c:pt idx="24">
                    <c:v>144.08</c:v>
                  </c:pt>
                  <c:pt idx="25">
                    <c:v>576.59</c:v>
                  </c:pt>
                  <c:pt idx="26">
                    <c:v>954.41</c:v>
                  </c:pt>
                  <c:pt idx="27">
                    <c:v>513.82</c:v>
                  </c:pt>
                  <c:pt idx="28">
                    <c:v>767.89</c:v>
                  </c:pt>
                  <c:pt idx="29">
                    <c:v>653.79</c:v>
                  </c:pt>
                </c:lvl>
                <c:lvl>
                  <c:pt idx="0">
                    <c:v>Cash on Delivery</c:v>
                  </c:pt>
                  <c:pt idx="1">
                    <c:v>Debit Card</c:v>
                  </c:pt>
                  <c:pt idx="2">
                    <c:v>Debit Card</c:v>
                  </c:pt>
                  <c:pt idx="3">
                    <c:v>Bank Transfer</c:v>
                  </c:pt>
                  <c:pt idx="4">
                    <c:v>Debit Card</c:v>
                  </c:pt>
                  <c:pt idx="5">
                    <c:v>Bank Transfer</c:v>
                  </c:pt>
                  <c:pt idx="6">
                    <c:v>Credit Card</c:v>
                  </c:pt>
                  <c:pt idx="7">
                    <c:v>Cash on Delivery</c:v>
                  </c:pt>
                  <c:pt idx="8">
                    <c:v>Cash on Delivery</c:v>
                  </c:pt>
                  <c:pt idx="9">
                    <c:v>Cash on Delivery</c:v>
                  </c:pt>
                  <c:pt idx="10">
                    <c:v>Cash on Delivery</c:v>
                  </c:pt>
                  <c:pt idx="11">
                    <c:v>Bank Transfer</c:v>
                  </c:pt>
                  <c:pt idx="12">
                    <c:v>Credit Card</c:v>
                  </c:pt>
                  <c:pt idx="13">
                    <c:v>Debit Card</c:v>
                  </c:pt>
                  <c:pt idx="14">
                    <c:v>Cash on Delivery</c:v>
                  </c:pt>
                  <c:pt idx="15">
                    <c:v>Bank Transfer</c:v>
                  </c:pt>
                  <c:pt idx="16">
                    <c:v>Credit Card</c:v>
                  </c:pt>
                  <c:pt idx="17">
                    <c:v>PayPal</c:v>
                  </c:pt>
                  <c:pt idx="18">
                    <c:v>Cash on Delivery</c:v>
                  </c:pt>
                  <c:pt idx="19">
                    <c:v>Debit Card</c:v>
                  </c:pt>
                  <c:pt idx="20">
                    <c:v>Credit Card</c:v>
                  </c:pt>
                  <c:pt idx="21">
                    <c:v>PayPal</c:v>
                  </c:pt>
                  <c:pt idx="22">
                    <c:v>Cash on Delivery</c:v>
                  </c:pt>
                  <c:pt idx="23">
                    <c:v>Debit Card</c:v>
                  </c:pt>
                  <c:pt idx="24">
                    <c:v>Cash on Delivery</c:v>
                  </c:pt>
                  <c:pt idx="25">
                    <c:v>Bank Transfer</c:v>
                  </c:pt>
                  <c:pt idx="26">
                    <c:v>PayPal</c:v>
                  </c:pt>
                  <c:pt idx="27">
                    <c:v>Credit Card</c:v>
                  </c:pt>
                  <c:pt idx="28">
                    <c:v>Credit Card</c:v>
                  </c:pt>
                  <c:pt idx="29">
                    <c:v>Cash on Delivery</c:v>
                  </c:pt>
                </c:lvl>
                <c:lvl>
                  <c:pt idx="0">
                    <c:v>Clothing</c:v>
                  </c:pt>
                  <c:pt idx="1">
                    <c:v>Beauty</c:v>
                  </c:pt>
                  <c:pt idx="2">
                    <c:v>Toys</c:v>
                  </c:pt>
                  <c:pt idx="3">
                    <c:v>Beauty</c:v>
                  </c:pt>
                  <c:pt idx="4">
                    <c:v>Electronics</c:v>
                  </c:pt>
                  <c:pt idx="5">
                    <c:v>Books</c:v>
                  </c:pt>
                  <c:pt idx="6">
                    <c:v>Beauty</c:v>
                  </c:pt>
                  <c:pt idx="7">
                    <c:v>Sports</c:v>
                  </c:pt>
                  <c:pt idx="8">
                    <c:v>Books</c:v>
                  </c:pt>
                  <c:pt idx="9">
                    <c:v>Toys</c:v>
                  </c:pt>
                  <c:pt idx="10">
                    <c:v>Clothing</c:v>
                  </c:pt>
                  <c:pt idx="11">
                    <c:v>Sports</c:v>
                  </c:pt>
                  <c:pt idx="12">
                    <c:v>Electronics</c:v>
                  </c:pt>
                  <c:pt idx="13">
                    <c:v>Home &amp; Kitchen</c:v>
                  </c:pt>
                  <c:pt idx="14">
                    <c:v>Toys</c:v>
                  </c:pt>
                  <c:pt idx="15">
                    <c:v>Toys</c:v>
                  </c:pt>
                  <c:pt idx="16">
                    <c:v>Beauty</c:v>
                  </c:pt>
                  <c:pt idx="17">
                    <c:v>Clothing</c:v>
                  </c:pt>
                  <c:pt idx="18">
                    <c:v>Books</c:v>
                  </c:pt>
                  <c:pt idx="19">
                    <c:v>Electronics</c:v>
                  </c:pt>
                  <c:pt idx="20">
                    <c:v>Toys</c:v>
                  </c:pt>
                  <c:pt idx="21">
                    <c:v>Electronics</c:v>
                  </c:pt>
                  <c:pt idx="22">
                    <c:v>Toys</c:v>
                  </c:pt>
                  <c:pt idx="23">
                    <c:v>Toys</c:v>
                  </c:pt>
                  <c:pt idx="24">
                    <c:v>Electronics</c:v>
                  </c:pt>
                  <c:pt idx="25">
                    <c:v>Sports</c:v>
                  </c:pt>
                  <c:pt idx="26">
                    <c:v>Electronics</c:v>
                  </c:pt>
                  <c:pt idx="27">
                    <c:v>Home &amp; Kitchen</c:v>
                  </c:pt>
                  <c:pt idx="28">
                    <c:v>Sports</c:v>
                  </c:pt>
                  <c:pt idx="29">
                    <c:v>Beauty</c:v>
                  </c:pt>
                </c:lvl>
                <c:lvl>
                  <c:pt idx="0">
                    <c:v>295</c:v>
                  </c:pt>
                  <c:pt idx="1">
                    <c:v>546</c:v>
                  </c:pt>
                  <c:pt idx="2">
                    <c:v>430</c:v>
                  </c:pt>
                  <c:pt idx="3">
                    <c:v>807</c:v>
                  </c:pt>
                  <c:pt idx="4">
                    <c:v>319</c:v>
                  </c:pt>
                  <c:pt idx="5">
                    <c:v>282</c:v>
                  </c:pt>
                  <c:pt idx="6">
                    <c:v>276</c:v>
                  </c:pt>
                  <c:pt idx="7">
                    <c:v>574</c:v>
                  </c:pt>
                  <c:pt idx="8">
                    <c:v>948</c:v>
                  </c:pt>
                  <c:pt idx="9">
                    <c:v>459</c:v>
                  </c:pt>
                  <c:pt idx="10">
                    <c:v>745</c:v>
                  </c:pt>
                  <c:pt idx="11">
                    <c:v>564</c:v>
                  </c:pt>
                  <c:pt idx="12">
                    <c:v>334</c:v>
                  </c:pt>
                  <c:pt idx="13">
                    <c:v>536</c:v>
                  </c:pt>
                  <c:pt idx="14">
                    <c:v>239</c:v>
                  </c:pt>
                  <c:pt idx="15">
                    <c:v>587</c:v>
                  </c:pt>
                  <c:pt idx="16">
                    <c:v>868</c:v>
                  </c:pt>
                  <c:pt idx="17">
                    <c:v>384</c:v>
                  </c:pt>
                  <c:pt idx="18">
                    <c:v>701</c:v>
                  </c:pt>
                  <c:pt idx="19">
                    <c:v>427</c:v>
                  </c:pt>
                  <c:pt idx="20">
                    <c:v>150</c:v>
                  </c:pt>
                  <c:pt idx="21">
                    <c:v>797</c:v>
                  </c:pt>
                  <c:pt idx="22">
                    <c:v>577</c:v>
                  </c:pt>
                  <c:pt idx="23">
                    <c:v>385</c:v>
                  </c:pt>
                  <c:pt idx="24">
                    <c:v>419</c:v>
                  </c:pt>
                  <c:pt idx="25">
                    <c:v>733</c:v>
                  </c:pt>
                  <c:pt idx="26">
                    <c:v>278</c:v>
                  </c:pt>
                  <c:pt idx="27">
                    <c:v>231</c:v>
                  </c:pt>
                  <c:pt idx="28">
                    <c:v>699</c:v>
                  </c:pt>
                  <c:pt idx="29">
                    <c:v>829</c:v>
                  </c:pt>
                </c:lvl>
                <c:lvl>
                  <c:pt idx="0">
                    <c:v>8270</c:v>
                  </c:pt>
                  <c:pt idx="1">
                    <c:v>1860</c:v>
                  </c:pt>
                  <c:pt idx="2">
                    <c:v>6390</c:v>
                  </c:pt>
                  <c:pt idx="3">
                    <c:v>6191</c:v>
                  </c:pt>
                  <c:pt idx="4">
                    <c:v>6734</c:v>
                  </c:pt>
                  <c:pt idx="5">
                    <c:v>7265</c:v>
                  </c:pt>
                  <c:pt idx="6">
                    <c:v>1466</c:v>
                  </c:pt>
                  <c:pt idx="7">
                    <c:v>5426</c:v>
                  </c:pt>
                  <c:pt idx="8">
                    <c:v>6578</c:v>
                  </c:pt>
                  <c:pt idx="9">
                    <c:v>9322</c:v>
                  </c:pt>
                  <c:pt idx="10">
                    <c:v>2685</c:v>
                  </c:pt>
                  <c:pt idx="11">
                    <c:v>1769</c:v>
                  </c:pt>
                  <c:pt idx="12">
                    <c:v>7949</c:v>
                  </c:pt>
                  <c:pt idx="13">
                    <c:v>3433</c:v>
                  </c:pt>
                  <c:pt idx="14">
                    <c:v>6311</c:v>
                  </c:pt>
                  <c:pt idx="15">
                    <c:v>6051</c:v>
                  </c:pt>
                  <c:pt idx="16">
                    <c:v>7420</c:v>
                  </c:pt>
                  <c:pt idx="17">
                    <c:v>2184</c:v>
                  </c:pt>
                  <c:pt idx="18">
                    <c:v>5555</c:v>
                  </c:pt>
                  <c:pt idx="19">
                    <c:v>4385</c:v>
                  </c:pt>
                  <c:pt idx="20">
                    <c:v>7396</c:v>
                  </c:pt>
                  <c:pt idx="21">
                    <c:v>9666</c:v>
                  </c:pt>
                  <c:pt idx="22">
                    <c:v>3558</c:v>
                  </c:pt>
                  <c:pt idx="23">
                    <c:v>8849</c:v>
                  </c:pt>
                  <c:pt idx="24">
                    <c:v>3047</c:v>
                  </c:pt>
                  <c:pt idx="25">
                    <c:v>3747</c:v>
                  </c:pt>
                  <c:pt idx="26">
                    <c:v>1189</c:v>
                  </c:pt>
                  <c:pt idx="27">
                    <c:v>3734</c:v>
                  </c:pt>
                  <c:pt idx="28">
                    <c:v>4005</c:v>
                  </c:pt>
                  <c:pt idx="29">
                    <c:v>5658</c:v>
                  </c:pt>
                </c:lvl>
                <c:lvl>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lvl>
              </c:multiLvlStrCache>
            </c:multiLvlStrRef>
          </c:xVal>
          <c:yVal>
            <c:numRef>
              <c:f>ecommerce_sales_data!$P$2:$P$31</c:f>
              <c:numCache>
                <c:formatCode>General</c:formatCode>
                <c:ptCount val="30"/>
                <c:pt idx="0">
                  <c:v>1</c:v>
                </c:pt>
                <c:pt idx="1">
                  <c:v>2</c:v>
                </c:pt>
                <c:pt idx="2">
                  <c:v>3</c:v>
                </c:pt>
                <c:pt idx="3">
                  <c:v>2</c:v>
                </c:pt>
                <c:pt idx="4">
                  <c:v>4</c:v>
                </c:pt>
                <c:pt idx="5">
                  <c:v>6</c:v>
                </c:pt>
                <c:pt idx="6">
                  <c:v>2</c:v>
                </c:pt>
                <c:pt idx="7">
                  <c:v>5</c:v>
                </c:pt>
                <c:pt idx="8">
                  <c:v>6</c:v>
                </c:pt>
                <c:pt idx="9">
                  <c:v>3</c:v>
                </c:pt>
                <c:pt idx="10">
                  <c:v>1</c:v>
                </c:pt>
                <c:pt idx="11">
                  <c:v>5</c:v>
                </c:pt>
                <c:pt idx="12">
                  <c:v>4</c:v>
                </c:pt>
                <c:pt idx="13">
                  <c:v>0</c:v>
                </c:pt>
                <c:pt idx="14">
                  <c:v>3</c:v>
                </c:pt>
                <c:pt idx="15">
                  <c:v>3</c:v>
                </c:pt>
                <c:pt idx="16">
                  <c:v>2</c:v>
                </c:pt>
                <c:pt idx="17">
                  <c:v>1</c:v>
                </c:pt>
                <c:pt idx="18">
                  <c:v>6</c:v>
                </c:pt>
                <c:pt idx="19">
                  <c:v>4</c:v>
                </c:pt>
                <c:pt idx="20">
                  <c:v>3</c:v>
                </c:pt>
                <c:pt idx="21">
                  <c:v>4</c:v>
                </c:pt>
                <c:pt idx="22">
                  <c:v>3</c:v>
                </c:pt>
                <c:pt idx="23">
                  <c:v>3</c:v>
                </c:pt>
                <c:pt idx="24">
                  <c:v>4</c:v>
                </c:pt>
                <c:pt idx="25">
                  <c:v>5</c:v>
                </c:pt>
                <c:pt idx="26">
                  <c:v>4</c:v>
                </c:pt>
                <c:pt idx="27">
                  <c:v>0</c:v>
                </c:pt>
                <c:pt idx="28">
                  <c:v>5</c:v>
                </c:pt>
                <c:pt idx="29">
                  <c:v>2</c:v>
                </c:pt>
              </c:numCache>
            </c:numRef>
          </c:yVal>
          <c:smooth val="0"/>
          <c:extLst>
            <c:ext xmlns:c16="http://schemas.microsoft.com/office/drawing/2014/chart" uri="{C3380CC4-5D6E-409C-BE32-E72D297353CC}">
              <c16:uniqueId val="{00000001-03D2-455C-9ABC-87082F40F826}"/>
            </c:ext>
          </c:extLst>
        </c:ser>
        <c:dLbls>
          <c:showLegendKey val="0"/>
          <c:showVal val="0"/>
          <c:showCatName val="0"/>
          <c:showSerName val="0"/>
          <c:showPercent val="0"/>
          <c:showBubbleSize val="0"/>
        </c:dLbls>
        <c:axId val="966090640"/>
        <c:axId val="966099280"/>
      </c:scatterChart>
      <c:valAx>
        <c:axId val="966090640"/>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6099280"/>
        <c:crosses val="autoZero"/>
        <c:crossBetween val="midCat"/>
      </c:valAx>
      <c:valAx>
        <c:axId val="9660992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6090640"/>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
          <c:y val="0.18560185185185185"/>
          <c:w val="1"/>
          <c:h val="0.75710156022163899"/>
        </c:manualLayout>
      </c:layout>
      <c:pie3DChart>
        <c:varyColors val="1"/>
        <c:ser>
          <c:idx val="0"/>
          <c:order val="0"/>
          <c:tx>
            <c:strRef>
              <c:f>ecommerce_sales_data!$N$1</c:f>
              <c:strCache>
                <c:ptCount val="1"/>
                <c:pt idx="0">
                  <c:v>CustomerLoyaltyScore</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dPt>
            <c:idx val="4"/>
            <c:bubble3D val="0"/>
            <c:spPr>
              <a:solidFill>
                <a:schemeClr val="accent5"/>
              </a:solidFill>
              <a:ln w="25400">
                <a:solidFill>
                  <a:schemeClr val="lt1"/>
                </a:solidFill>
              </a:ln>
              <a:effectLst/>
              <a:sp3d contourW="25400">
                <a:contourClr>
                  <a:schemeClr val="lt1"/>
                </a:contourClr>
              </a:sp3d>
            </c:spPr>
          </c:dPt>
          <c:dPt>
            <c:idx val="5"/>
            <c:bubble3D val="0"/>
            <c:spPr>
              <a:solidFill>
                <a:schemeClr val="accent6"/>
              </a:solidFill>
              <a:ln w="25400">
                <a:solidFill>
                  <a:schemeClr val="lt1"/>
                </a:solidFill>
              </a:ln>
              <a:effectLst/>
              <a:sp3d contourW="25400">
                <a:contourClr>
                  <a:schemeClr val="lt1"/>
                </a:contourClr>
              </a:sp3d>
            </c:spPr>
          </c:dPt>
          <c:dPt>
            <c:idx val="6"/>
            <c:bubble3D val="0"/>
            <c:spPr>
              <a:solidFill>
                <a:schemeClr val="accent1">
                  <a:lumMod val="60000"/>
                </a:schemeClr>
              </a:solidFill>
              <a:ln w="25400">
                <a:solidFill>
                  <a:schemeClr val="lt1"/>
                </a:solidFill>
              </a:ln>
              <a:effectLst/>
              <a:sp3d contourW="25400">
                <a:contourClr>
                  <a:schemeClr val="lt1"/>
                </a:contourClr>
              </a:sp3d>
            </c:spPr>
          </c:dPt>
          <c:dPt>
            <c:idx val="7"/>
            <c:bubble3D val="0"/>
            <c:spPr>
              <a:solidFill>
                <a:schemeClr val="accent2">
                  <a:lumMod val="60000"/>
                </a:schemeClr>
              </a:solidFill>
              <a:ln w="25400">
                <a:solidFill>
                  <a:schemeClr val="lt1"/>
                </a:solidFill>
              </a:ln>
              <a:effectLst/>
              <a:sp3d contourW="25400">
                <a:contourClr>
                  <a:schemeClr val="lt1"/>
                </a:contourClr>
              </a:sp3d>
            </c:spPr>
          </c:dPt>
          <c:dPt>
            <c:idx val="8"/>
            <c:bubble3D val="0"/>
            <c:spPr>
              <a:solidFill>
                <a:schemeClr val="accent3">
                  <a:lumMod val="60000"/>
                </a:schemeClr>
              </a:solidFill>
              <a:ln w="25400">
                <a:solidFill>
                  <a:schemeClr val="lt1"/>
                </a:solidFill>
              </a:ln>
              <a:effectLst/>
              <a:sp3d contourW="25400">
                <a:contourClr>
                  <a:schemeClr val="lt1"/>
                </a:contourClr>
              </a:sp3d>
            </c:spPr>
          </c:dPt>
          <c:dPt>
            <c:idx val="9"/>
            <c:bubble3D val="0"/>
            <c:spPr>
              <a:solidFill>
                <a:schemeClr val="accent4">
                  <a:lumMod val="60000"/>
                </a:schemeClr>
              </a:solidFill>
              <a:ln w="25400">
                <a:solidFill>
                  <a:schemeClr val="lt1"/>
                </a:solidFill>
              </a:ln>
              <a:effectLst/>
              <a:sp3d contourW="25400">
                <a:contourClr>
                  <a:schemeClr val="lt1"/>
                </a:contourClr>
              </a:sp3d>
            </c:spPr>
          </c:dPt>
          <c:dPt>
            <c:idx val="10"/>
            <c:bubble3D val="0"/>
            <c:spPr>
              <a:solidFill>
                <a:schemeClr val="accent5">
                  <a:lumMod val="60000"/>
                </a:schemeClr>
              </a:solidFill>
              <a:ln w="25400">
                <a:solidFill>
                  <a:schemeClr val="lt1"/>
                </a:solidFill>
              </a:ln>
              <a:effectLst/>
              <a:sp3d contourW="25400">
                <a:contourClr>
                  <a:schemeClr val="lt1"/>
                </a:contourClr>
              </a:sp3d>
            </c:spPr>
          </c:dPt>
          <c:dPt>
            <c:idx val="11"/>
            <c:bubble3D val="0"/>
            <c:spPr>
              <a:solidFill>
                <a:schemeClr val="accent6">
                  <a:lumMod val="60000"/>
                </a:schemeClr>
              </a:solidFill>
              <a:ln w="25400">
                <a:solidFill>
                  <a:schemeClr val="lt1"/>
                </a:solidFill>
              </a:ln>
              <a:effectLst/>
              <a:sp3d contourW="25400">
                <a:contourClr>
                  <a:schemeClr val="lt1"/>
                </a:contourClr>
              </a:sp3d>
            </c:spPr>
          </c:dPt>
          <c:dPt>
            <c:idx val="12"/>
            <c:bubble3D val="0"/>
            <c:spPr>
              <a:solidFill>
                <a:schemeClr val="accent1">
                  <a:lumMod val="80000"/>
                  <a:lumOff val="20000"/>
                </a:schemeClr>
              </a:solidFill>
              <a:ln w="25400">
                <a:solidFill>
                  <a:schemeClr val="lt1"/>
                </a:solidFill>
              </a:ln>
              <a:effectLst/>
              <a:sp3d contourW="25400">
                <a:contourClr>
                  <a:schemeClr val="lt1"/>
                </a:contourClr>
              </a:sp3d>
            </c:spPr>
          </c:dPt>
          <c:dPt>
            <c:idx val="13"/>
            <c:bubble3D val="0"/>
            <c:spPr>
              <a:solidFill>
                <a:schemeClr val="accent2">
                  <a:lumMod val="80000"/>
                  <a:lumOff val="20000"/>
                </a:schemeClr>
              </a:solidFill>
              <a:ln w="25400">
                <a:solidFill>
                  <a:schemeClr val="lt1"/>
                </a:solidFill>
              </a:ln>
              <a:effectLst/>
              <a:sp3d contourW="25400">
                <a:contourClr>
                  <a:schemeClr val="lt1"/>
                </a:contourClr>
              </a:sp3d>
            </c:spPr>
          </c:dPt>
          <c:dPt>
            <c:idx val="14"/>
            <c:bubble3D val="0"/>
            <c:spPr>
              <a:solidFill>
                <a:schemeClr val="accent3">
                  <a:lumMod val="80000"/>
                  <a:lumOff val="20000"/>
                </a:schemeClr>
              </a:solidFill>
              <a:ln w="25400">
                <a:solidFill>
                  <a:schemeClr val="lt1"/>
                </a:solidFill>
              </a:ln>
              <a:effectLst/>
              <a:sp3d contourW="25400">
                <a:contourClr>
                  <a:schemeClr val="lt1"/>
                </a:contourClr>
              </a:sp3d>
            </c:spPr>
          </c:dPt>
          <c:dPt>
            <c:idx val="15"/>
            <c:bubble3D val="0"/>
            <c:spPr>
              <a:solidFill>
                <a:schemeClr val="accent4">
                  <a:lumMod val="80000"/>
                  <a:lumOff val="20000"/>
                </a:schemeClr>
              </a:solidFill>
              <a:ln w="25400">
                <a:solidFill>
                  <a:schemeClr val="lt1"/>
                </a:solidFill>
              </a:ln>
              <a:effectLst/>
              <a:sp3d contourW="25400">
                <a:contourClr>
                  <a:schemeClr val="lt1"/>
                </a:contourClr>
              </a:sp3d>
            </c:spPr>
          </c:dPt>
          <c:dPt>
            <c:idx val="16"/>
            <c:bubble3D val="0"/>
            <c:spPr>
              <a:solidFill>
                <a:schemeClr val="accent5">
                  <a:lumMod val="80000"/>
                  <a:lumOff val="20000"/>
                </a:schemeClr>
              </a:solidFill>
              <a:ln w="25400">
                <a:solidFill>
                  <a:schemeClr val="lt1"/>
                </a:solidFill>
              </a:ln>
              <a:effectLst/>
              <a:sp3d contourW="25400">
                <a:contourClr>
                  <a:schemeClr val="lt1"/>
                </a:contourClr>
              </a:sp3d>
            </c:spPr>
          </c:dPt>
          <c:dPt>
            <c:idx val="17"/>
            <c:bubble3D val="0"/>
            <c:spPr>
              <a:solidFill>
                <a:schemeClr val="accent6">
                  <a:lumMod val="80000"/>
                  <a:lumOff val="20000"/>
                </a:schemeClr>
              </a:solidFill>
              <a:ln w="25400">
                <a:solidFill>
                  <a:schemeClr val="lt1"/>
                </a:solidFill>
              </a:ln>
              <a:effectLst/>
              <a:sp3d contourW="25400">
                <a:contourClr>
                  <a:schemeClr val="lt1"/>
                </a:contourClr>
              </a:sp3d>
            </c:spPr>
          </c:dPt>
          <c:dPt>
            <c:idx val="18"/>
            <c:bubble3D val="0"/>
            <c:spPr>
              <a:solidFill>
                <a:schemeClr val="accent1">
                  <a:lumMod val="80000"/>
                </a:schemeClr>
              </a:solidFill>
              <a:ln w="25400">
                <a:solidFill>
                  <a:schemeClr val="lt1"/>
                </a:solidFill>
              </a:ln>
              <a:effectLst/>
              <a:sp3d contourW="25400">
                <a:contourClr>
                  <a:schemeClr val="lt1"/>
                </a:contourClr>
              </a:sp3d>
            </c:spPr>
          </c:dPt>
          <c:dPt>
            <c:idx val="19"/>
            <c:bubble3D val="0"/>
            <c:spPr>
              <a:solidFill>
                <a:schemeClr val="accent2">
                  <a:lumMod val="80000"/>
                </a:schemeClr>
              </a:solidFill>
              <a:ln w="25400">
                <a:solidFill>
                  <a:schemeClr val="lt1"/>
                </a:solidFill>
              </a:ln>
              <a:effectLst/>
              <a:sp3d contourW="25400">
                <a:contourClr>
                  <a:schemeClr val="lt1"/>
                </a:contourClr>
              </a:sp3d>
            </c:spPr>
          </c:dPt>
          <c:dPt>
            <c:idx val="20"/>
            <c:bubble3D val="0"/>
            <c:spPr>
              <a:solidFill>
                <a:schemeClr val="accent3">
                  <a:lumMod val="80000"/>
                </a:schemeClr>
              </a:solidFill>
              <a:ln w="25400">
                <a:solidFill>
                  <a:schemeClr val="lt1"/>
                </a:solidFill>
              </a:ln>
              <a:effectLst/>
              <a:sp3d contourW="25400">
                <a:contourClr>
                  <a:schemeClr val="lt1"/>
                </a:contourClr>
              </a:sp3d>
            </c:spPr>
          </c:dPt>
          <c:dPt>
            <c:idx val="21"/>
            <c:bubble3D val="0"/>
            <c:spPr>
              <a:solidFill>
                <a:schemeClr val="accent4">
                  <a:lumMod val="80000"/>
                </a:schemeClr>
              </a:solidFill>
              <a:ln w="25400">
                <a:solidFill>
                  <a:schemeClr val="lt1"/>
                </a:solidFill>
              </a:ln>
              <a:effectLst/>
              <a:sp3d contourW="25400">
                <a:contourClr>
                  <a:schemeClr val="lt1"/>
                </a:contourClr>
              </a:sp3d>
            </c:spPr>
          </c:dPt>
          <c:dPt>
            <c:idx val="22"/>
            <c:bubble3D val="0"/>
            <c:spPr>
              <a:solidFill>
                <a:schemeClr val="accent5">
                  <a:lumMod val="80000"/>
                </a:schemeClr>
              </a:solidFill>
              <a:ln w="25400">
                <a:solidFill>
                  <a:schemeClr val="lt1"/>
                </a:solidFill>
              </a:ln>
              <a:effectLst/>
              <a:sp3d contourW="25400">
                <a:contourClr>
                  <a:schemeClr val="lt1"/>
                </a:contourClr>
              </a:sp3d>
            </c:spPr>
          </c:dPt>
          <c:dPt>
            <c:idx val="23"/>
            <c:bubble3D val="0"/>
            <c:spPr>
              <a:solidFill>
                <a:schemeClr val="accent6">
                  <a:lumMod val="80000"/>
                </a:schemeClr>
              </a:solidFill>
              <a:ln w="25400">
                <a:solidFill>
                  <a:schemeClr val="lt1"/>
                </a:solidFill>
              </a:ln>
              <a:effectLst/>
              <a:sp3d contourW="25400">
                <a:contourClr>
                  <a:schemeClr val="lt1"/>
                </a:contourClr>
              </a:sp3d>
            </c:spPr>
          </c:dPt>
          <c:dPt>
            <c:idx val="24"/>
            <c:bubble3D val="0"/>
            <c:spPr>
              <a:solidFill>
                <a:schemeClr val="accent1">
                  <a:lumMod val="60000"/>
                  <a:lumOff val="40000"/>
                </a:schemeClr>
              </a:solidFill>
              <a:ln w="25400">
                <a:solidFill>
                  <a:schemeClr val="lt1"/>
                </a:solidFill>
              </a:ln>
              <a:effectLst/>
              <a:sp3d contourW="25400">
                <a:contourClr>
                  <a:schemeClr val="lt1"/>
                </a:contourClr>
              </a:sp3d>
            </c:spPr>
          </c:dPt>
          <c:dPt>
            <c:idx val="25"/>
            <c:bubble3D val="0"/>
            <c:spPr>
              <a:solidFill>
                <a:schemeClr val="accent2">
                  <a:lumMod val="60000"/>
                  <a:lumOff val="40000"/>
                </a:schemeClr>
              </a:solidFill>
              <a:ln w="25400">
                <a:solidFill>
                  <a:schemeClr val="lt1"/>
                </a:solidFill>
              </a:ln>
              <a:effectLst/>
              <a:sp3d contourW="25400">
                <a:contourClr>
                  <a:schemeClr val="lt1"/>
                </a:contourClr>
              </a:sp3d>
            </c:spPr>
          </c:dPt>
          <c:dPt>
            <c:idx val="26"/>
            <c:bubble3D val="0"/>
            <c:spPr>
              <a:solidFill>
                <a:schemeClr val="accent3">
                  <a:lumMod val="60000"/>
                  <a:lumOff val="40000"/>
                </a:schemeClr>
              </a:solidFill>
              <a:ln w="25400">
                <a:solidFill>
                  <a:schemeClr val="lt1"/>
                </a:solidFill>
              </a:ln>
              <a:effectLst/>
              <a:sp3d contourW="25400">
                <a:contourClr>
                  <a:schemeClr val="lt1"/>
                </a:contourClr>
              </a:sp3d>
            </c:spPr>
          </c:dPt>
          <c:dPt>
            <c:idx val="27"/>
            <c:bubble3D val="0"/>
            <c:spPr>
              <a:solidFill>
                <a:schemeClr val="accent4">
                  <a:lumMod val="60000"/>
                  <a:lumOff val="40000"/>
                </a:schemeClr>
              </a:solidFill>
              <a:ln w="25400">
                <a:solidFill>
                  <a:schemeClr val="lt1"/>
                </a:solidFill>
              </a:ln>
              <a:effectLst/>
              <a:sp3d contourW="25400">
                <a:contourClr>
                  <a:schemeClr val="lt1"/>
                </a:contourClr>
              </a:sp3d>
            </c:spPr>
          </c:dPt>
          <c:dPt>
            <c:idx val="28"/>
            <c:bubble3D val="0"/>
            <c:spPr>
              <a:solidFill>
                <a:schemeClr val="accent5">
                  <a:lumMod val="60000"/>
                  <a:lumOff val="40000"/>
                </a:schemeClr>
              </a:solidFill>
              <a:ln w="25400">
                <a:solidFill>
                  <a:schemeClr val="lt1"/>
                </a:solidFill>
              </a:ln>
              <a:effectLst/>
              <a:sp3d contourW="25400">
                <a:contourClr>
                  <a:schemeClr val="lt1"/>
                </a:contourClr>
              </a:sp3d>
            </c:spPr>
          </c:dPt>
          <c:dPt>
            <c:idx val="29"/>
            <c:bubble3D val="0"/>
            <c:spPr>
              <a:solidFill>
                <a:schemeClr val="accent6">
                  <a:lumMod val="60000"/>
                  <a:lumOff val="40000"/>
                </a:schemeClr>
              </a:solidFill>
              <a:ln w="25400">
                <a:solidFill>
                  <a:schemeClr val="lt1"/>
                </a:solidFill>
              </a:ln>
              <a:effectLst/>
              <a:sp3d contourW="25400">
                <a:contourClr>
                  <a:schemeClr val="lt1"/>
                </a:contourClr>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multiLvlStrRef>
              <c:f>ecommerce_sales_data!$A$2:$M$31</c:f>
              <c:multiLvlStrCache>
                <c:ptCount val="30"/>
                <c:lvl>
                  <c:pt idx="0">
                    <c:v>Medium</c:v>
                  </c:pt>
                  <c:pt idx="1">
                    <c:v>High</c:v>
                  </c:pt>
                  <c:pt idx="2">
                    <c:v>High</c:v>
                  </c:pt>
                  <c:pt idx="3">
                    <c:v>Low</c:v>
                  </c:pt>
                  <c:pt idx="4">
                    <c:v>High</c:v>
                  </c:pt>
                  <c:pt idx="5">
                    <c:v>High</c:v>
                  </c:pt>
                  <c:pt idx="6">
                    <c:v>Low</c:v>
                  </c:pt>
                  <c:pt idx="7">
                    <c:v>High</c:v>
                  </c:pt>
                  <c:pt idx="8">
                    <c:v>Low</c:v>
                  </c:pt>
                  <c:pt idx="9">
                    <c:v>Low</c:v>
                  </c:pt>
                  <c:pt idx="10">
                    <c:v>Low</c:v>
                  </c:pt>
                  <c:pt idx="11">
                    <c:v>High</c:v>
                  </c:pt>
                  <c:pt idx="12">
                    <c:v>Low</c:v>
                  </c:pt>
                  <c:pt idx="13">
                    <c:v>Low</c:v>
                  </c:pt>
                  <c:pt idx="14">
                    <c:v>High</c:v>
                  </c:pt>
                  <c:pt idx="15">
                    <c:v>Low</c:v>
                  </c:pt>
                  <c:pt idx="16">
                    <c:v>Medium</c:v>
                  </c:pt>
                  <c:pt idx="17">
                    <c:v>Medium</c:v>
                  </c:pt>
                  <c:pt idx="18">
                    <c:v>Low</c:v>
                  </c:pt>
                  <c:pt idx="19">
                    <c:v>Low</c:v>
                  </c:pt>
                  <c:pt idx="20">
                    <c:v>Medium</c:v>
                  </c:pt>
                  <c:pt idx="21">
                    <c:v>Medium</c:v>
                  </c:pt>
                  <c:pt idx="22">
                    <c:v>Medium</c:v>
                  </c:pt>
                  <c:pt idx="23">
                    <c:v>High</c:v>
                  </c:pt>
                  <c:pt idx="24">
                    <c:v>High</c:v>
                  </c:pt>
                  <c:pt idx="25">
                    <c:v>Low</c:v>
                  </c:pt>
                  <c:pt idx="26">
                    <c:v>Low</c:v>
                  </c:pt>
                  <c:pt idx="27">
                    <c:v>Low</c:v>
                  </c:pt>
                  <c:pt idx="28">
                    <c:v>High</c:v>
                  </c:pt>
                  <c:pt idx="29">
                    <c:v>Low</c:v>
                  </c:pt>
                </c:lvl>
                <c:lvl>
                  <c:pt idx="0">
                    <c:v>Female</c:v>
                  </c:pt>
                  <c:pt idx="1">
                    <c:v>Other</c:v>
                  </c:pt>
                  <c:pt idx="2">
                    <c:v>Female</c:v>
                  </c:pt>
                  <c:pt idx="3">
                    <c:v>Female</c:v>
                  </c:pt>
                  <c:pt idx="4">
                    <c:v>Other</c:v>
                  </c:pt>
                  <c:pt idx="5">
                    <c:v>Male</c:v>
                  </c:pt>
                  <c:pt idx="6">
                    <c:v>Male</c:v>
                  </c:pt>
                  <c:pt idx="7">
                    <c:v>Female</c:v>
                  </c:pt>
                  <c:pt idx="8">
                    <c:v>Male</c:v>
                  </c:pt>
                  <c:pt idx="9">
                    <c:v>Female</c:v>
                  </c:pt>
                  <c:pt idx="10">
                    <c:v>Other</c:v>
                  </c:pt>
                  <c:pt idx="11">
                    <c:v>Other</c:v>
                  </c:pt>
                  <c:pt idx="12">
                    <c:v>Other</c:v>
                  </c:pt>
                  <c:pt idx="13">
                    <c:v>Male</c:v>
                  </c:pt>
                  <c:pt idx="14">
                    <c:v>Other</c:v>
                  </c:pt>
                  <c:pt idx="15">
                    <c:v>Other</c:v>
                  </c:pt>
                  <c:pt idx="16">
                    <c:v>Other</c:v>
                  </c:pt>
                  <c:pt idx="17">
                    <c:v>Other</c:v>
                  </c:pt>
                  <c:pt idx="18">
                    <c:v>Female</c:v>
                  </c:pt>
                  <c:pt idx="19">
                    <c:v>Other</c:v>
                  </c:pt>
                  <c:pt idx="20">
                    <c:v>Male</c:v>
                  </c:pt>
                  <c:pt idx="21">
                    <c:v>Female</c:v>
                  </c:pt>
                  <c:pt idx="22">
                    <c:v>Other</c:v>
                  </c:pt>
                  <c:pt idx="23">
                    <c:v>Female</c:v>
                  </c:pt>
                  <c:pt idx="24">
                    <c:v>Male</c:v>
                  </c:pt>
                  <c:pt idx="25">
                    <c:v>Male</c:v>
                  </c:pt>
                  <c:pt idx="26">
                    <c:v>Male</c:v>
                  </c:pt>
                  <c:pt idx="27">
                    <c:v>Male</c:v>
                  </c:pt>
                  <c:pt idx="28">
                    <c:v>Other</c:v>
                  </c:pt>
                  <c:pt idx="29">
                    <c:v>Female</c:v>
                  </c:pt>
                </c:lvl>
                <c:lvl>
                  <c:pt idx="0">
                    <c:v>46</c:v>
                  </c:pt>
                  <c:pt idx="1">
                    <c:v>59</c:v>
                  </c:pt>
                  <c:pt idx="2">
                    <c:v>61</c:v>
                  </c:pt>
                  <c:pt idx="3">
                    <c:v>69</c:v>
                  </c:pt>
                  <c:pt idx="4">
                    <c:v>29</c:v>
                  </c:pt>
                  <c:pt idx="5">
                    <c:v>60</c:v>
                  </c:pt>
                  <c:pt idx="6">
                    <c:v>69</c:v>
                  </c:pt>
                  <c:pt idx="7">
                    <c:v>45</c:v>
                  </c:pt>
                  <c:pt idx="8">
                    <c:v>37</c:v>
                  </c:pt>
                  <c:pt idx="9">
                    <c:v>67</c:v>
                  </c:pt>
                  <c:pt idx="10">
                    <c:v>36</c:v>
                  </c:pt>
                  <c:pt idx="11">
                    <c:v>61</c:v>
                  </c:pt>
                  <c:pt idx="12">
                    <c:v>65</c:v>
                  </c:pt>
                  <c:pt idx="13">
                    <c:v>35</c:v>
                  </c:pt>
                  <c:pt idx="14">
                    <c:v>20</c:v>
                  </c:pt>
                  <c:pt idx="15">
                    <c:v>46</c:v>
                  </c:pt>
                  <c:pt idx="16">
                    <c:v>21</c:v>
                  </c:pt>
                  <c:pt idx="17">
                    <c:v>23</c:v>
                  </c:pt>
                  <c:pt idx="18">
                    <c:v>52</c:v>
                  </c:pt>
                  <c:pt idx="19">
                    <c:v>46</c:v>
                  </c:pt>
                  <c:pt idx="20">
                    <c:v>60</c:v>
                  </c:pt>
                  <c:pt idx="21">
                    <c:v>54</c:v>
                  </c:pt>
                  <c:pt idx="22">
                    <c:v>29</c:v>
                  </c:pt>
                  <c:pt idx="23">
                    <c:v>45</c:v>
                  </c:pt>
                  <c:pt idx="24">
                    <c:v>38</c:v>
                  </c:pt>
                  <c:pt idx="25">
                    <c:v>52</c:v>
                  </c:pt>
                  <c:pt idx="26">
                    <c:v>66</c:v>
                  </c:pt>
                  <c:pt idx="27">
                    <c:v>34</c:v>
                  </c:pt>
                  <c:pt idx="28">
                    <c:v>52</c:v>
                  </c:pt>
                  <c:pt idx="29">
                    <c:v>68</c:v>
                  </c:pt>
                </c:lvl>
                <c:lvl>
                  <c:pt idx="0">
                    <c:v>New Juan</c:v>
                  </c:pt>
                  <c:pt idx="1">
                    <c:v>South Julie</c:v>
                  </c:pt>
                  <c:pt idx="2">
                    <c:v>West Carrieview</c:v>
                  </c:pt>
                  <c:pt idx="3">
                    <c:v>Christianberg</c:v>
                  </c:pt>
                  <c:pt idx="4">
                    <c:v>South Williamhaven</c:v>
                  </c:pt>
                  <c:pt idx="5">
                    <c:v>Stephenfort</c:v>
                  </c:pt>
                  <c:pt idx="6">
                    <c:v>North Terristad</c:v>
                  </c:pt>
                  <c:pt idx="7">
                    <c:v>Pachecotown</c:v>
                  </c:pt>
                  <c:pt idx="8">
                    <c:v>Port Philipberg</c:v>
                  </c:pt>
                  <c:pt idx="9">
                    <c:v>Jenniferfurt</c:v>
                  </c:pt>
                  <c:pt idx="10">
                    <c:v>Lake Carolyn</c:v>
                  </c:pt>
                  <c:pt idx="11">
                    <c:v>Amandaborough</c:v>
                  </c:pt>
                  <c:pt idx="12">
                    <c:v>South Maria</c:v>
                  </c:pt>
                  <c:pt idx="13">
                    <c:v>West Marissa</c:v>
                  </c:pt>
                  <c:pt idx="14">
                    <c:v>Austinburgh</c:v>
                  </c:pt>
                  <c:pt idx="15">
                    <c:v>Lake Jesse</c:v>
                  </c:pt>
                  <c:pt idx="16">
                    <c:v>Marioburgh</c:v>
                  </c:pt>
                  <c:pt idx="17">
                    <c:v>Ryanhaven</c:v>
                  </c:pt>
                  <c:pt idx="18">
                    <c:v>Dickersonmouth</c:v>
                  </c:pt>
                  <c:pt idx="19">
                    <c:v>Annaborough</c:v>
                  </c:pt>
                  <c:pt idx="20">
                    <c:v>Ramirezburgh</c:v>
                  </c:pt>
                  <c:pt idx="21">
                    <c:v>Sextonberg</c:v>
                  </c:pt>
                  <c:pt idx="22">
                    <c:v>Beasleyshire</c:v>
                  </c:pt>
                  <c:pt idx="23">
                    <c:v>Lake Brittneyland</c:v>
                  </c:pt>
                  <c:pt idx="24">
                    <c:v>South John</c:v>
                  </c:pt>
                  <c:pt idx="25">
                    <c:v>New Devin</c:v>
                  </c:pt>
                  <c:pt idx="26">
                    <c:v>Lake Denise</c:v>
                  </c:pt>
                  <c:pt idx="27">
                    <c:v>South Susan</c:v>
                  </c:pt>
                  <c:pt idx="28">
                    <c:v>Johnsonchester</c:v>
                  </c:pt>
                  <c:pt idx="29">
                    <c:v>Martinberg</c:v>
                  </c:pt>
                </c:lvl>
                <c:lvl>
                  <c:pt idx="0">
                    <c:v>22-12-2023 10:35</c:v>
                  </c:pt>
                  <c:pt idx="1">
                    <c:v>05-05-2024 10:40</c:v>
                  </c:pt>
                  <c:pt idx="2">
                    <c:v>04-12-2023 05:22</c:v>
                  </c:pt>
                  <c:pt idx="3">
                    <c:v>02-01-2024 11:11</c:v>
                  </c:pt>
                  <c:pt idx="4">
                    <c:v>18-06-2024 01:01</c:v>
                  </c:pt>
                  <c:pt idx="5">
                    <c:v>06-03-2024 06:15</c:v>
                  </c:pt>
                  <c:pt idx="6">
                    <c:v>15-10-2023 13:30</c:v>
                  </c:pt>
                  <c:pt idx="7">
                    <c:v>16-05-2024 01:46</c:v>
                  </c:pt>
                  <c:pt idx="8">
                    <c:v>04-08-2024 17:13</c:v>
                  </c:pt>
                  <c:pt idx="9">
                    <c:v>18-12-2023 18:38</c:v>
                  </c:pt>
                  <c:pt idx="10">
                    <c:v>26-05-2024 02:56</c:v>
                  </c:pt>
                  <c:pt idx="11">
                    <c:v>26-09-2023 05:18</c:v>
                  </c:pt>
                  <c:pt idx="12">
                    <c:v>13-12-2023 23:53</c:v>
                  </c:pt>
                  <c:pt idx="13">
                    <c:v>02-12-2023 07:44</c:v>
                  </c:pt>
                  <c:pt idx="14">
                    <c:v>01-03-2024 17:49</c:v>
                  </c:pt>
                  <c:pt idx="15">
                    <c:v>12-08-2024 12:13</c:v>
                  </c:pt>
                  <c:pt idx="16">
                    <c:v>24-07-2024 08:49</c:v>
                  </c:pt>
                  <c:pt idx="17">
                    <c:v>14-06-2024 18:03</c:v>
                  </c:pt>
                  <c:pt idx="18">
                    <c:v>02-03-2024 05:18</c:v>
                  </c:pt>
                  <c:pt idx="19">
                    <c:v>19-05-2024 13:22</c:v>
                  </c:pt>
                  <c:pt idx="20">
                    <c:v>13-05-2024 10:04</c:v>
                  </c:pt>
                  <c:pt idx="21">
                    <c:v>05-04-2024 20:50</c:v>
                  </c:pt>
                  <c:pt idx="22">
                    <c:v>17-11-2023 05:30</c:v>
                  </c:pt>
                  <c:pt idx="23">
                    <c:v>05-08-2024 14:07</c:v>
                  </c:pt>
                  <c:pt idx="24">
                    <c:v>24-02-2024 01:14</c:v>
                  </c:pt>
                  <c:pt idx="25">
                    <c:v>04-03-2024 09:18</c:v>
                  </c:pt>
                  <c:pt idx="26">
                    <c:v>26-10-2023 07:12</c:v>
                  </c:pt>
                  <c:pt idx="27">
                    <c:v>04-08-2024 12:39</c:v>
                  </c:pt>
                  <c:pt idx="28">
                    <c:v>06-05-2024 01:39</c:v>
                  </c:pt>
                  <c:pt idx="29">
                    <c:v>23-10-2023 11:34</c:v>
                  </c:pt>
                </c:lvl>
                <c:lvl>
                  <c:pt idx="0">
                    <c:v>0.13</c:v>
                  </c:pt>
                  <c:pt idx="1">
                    <c:v>0.06</c:v>
                  </c:pt>
                  <c:pt idx="2">
                    <c:v>0.24</c:v>
                  </c:pt>
                  <c:pt idx="3">
                    <c:v>0.01</c:v>
                  </c:pt>
                  <c:pt idx="4">
                    <c:v>0.14</c:v>
                  </c:pt>
                  <c:pt idx="5">
                    <c:v>0.18</c:v>
                  </c:pt>
                  <c:pt idx="6">
                    <c:v>0.09</c:v>
                  </c:pt>
                  <c:pt idx="7">
                    <c:v>0.29</c:v>
                  </c:pt>
                  <c:pt idx="8">
                    <c:v>0.12</c:v>
                  </c:pt>
                  <c:pt idx="9">
                    <c:v>0.23</c:v>
                  </c:pt>
                  <c:pt idx="10">
                    <c:v>0.06</c:v>
                  </c:pt>
                  <c:pt idx="11">
                    <c:v>0.05</c:v>
                  </c:pt>
                  <c:pt idx="12">
                    <c:v>0.25</c:v>
                  </c:pt>
                  <c:pt idx="13">
                    <c:v>0.15</c:v>
                  </c:pt>
                  <c:pt idx="14">
                    <c:v>0.26</c:v>
                  </c:pt>
                  <c:pt idx="15">
                    <c:v>0.22</c:v>
                  </c:pt>
                  <c:pt idx="16">
                    <c:v>0.19</c:v>
                  </c:pt>
                  <c:pt idx="17">
                    <c:v>0.26</c:v>
                  </c:pt>
                  <c:pt idx="18">
                    <c:v>0.12</c:v>
                  </c:pt>
                  <c:pt idx="19">
                    <c:v>0.28</c:v>
                  </c:pt>
                  <c:pt idx="20">
                    <c:v>0.04</c:v>
                  </c:pt>
                  <c:pt idx="21">
                    <c:v>0.04</c:v>
                  </c:pt>
                  <c:pt idx="22">
                    <c:v>0.04</c:v>
                  </c:pt>
                  <c:pt idx="23">
                    <c:v>0.15</c:v>
                  </c:pt>
                  <c:pt idx="24">
                    <c:v>0.28</c:v>
                  </c:pt>
                  <c:pt idx="25">
                    <c:v>0.2</c:v>
                  </c:pt>
                  <c:pt idx="26">
                    <c:v>0.11</c:v>
                  </c:pt>
                  <c:pt idx="27">
                    <c:v>0.05</c:v>
                  </c:pt>
                  <c:pt idx="28">
                    <c:v>0.11</c:v>
                  </c:pt>
                  <c:pt idx="29">
                    <c:v>0.01</c:v>
                  </c:pt>
                </c:lvl>
                <c:lvl>
                  <c:pt idx="0">
                    <c:v>801.66</c:v>
                  </c:pt>
                  <c:pt idx="1">
                    <c:v>225.03</c:v>
                  </c:pt>
                  <c:pt idx="2">
                    <c:v>544.99</c:v>
                  </c:pt>
                  <c:pt idx="3">
                    <c:v>157.02</c:v>
                  </c:pt>
                  <c:pt idx="4">
                    <c:v>155.51</c:v>
                  </c:pt>
                  <c:pt idx="5">
                    <c:v>225.65</c:v>
                  </c:pt>
                  <c:pt idx="6">
                    <c:v>631.96</c:v>
                  </c:pt>
                  <c:pt idx="7">
                    <c:v>522.87</c:v>
                  </c:pt>
                  <c:pt idx="8">
                    <c:v>202.66</c:v>
                  </c:pt>
                  <c:pt idx="9">
                    <c:v>401.52</c:v>
                  </c:pt>
                  <c:pt idx="10">
                    <c:v>346.31</c:v>
                  </c:pt>
                  <c:pt idx="11">
                    <c:v>434.15</c:v>
                  </c:pt>
                  <c:pt idx="12">
                    <c:v>189.87</c:v>
                  </c:pt>
                  <c:pt idx="13">
                    <c:v>559.1</c:v>
                  </c:pt>
                  <c:pt idx="14">
                    <c:v>29.01</c:v>
                  </c:pt>
                  <c:pt idx="15">
                    <c:v>541.5</c:v>
                  </c:pt>
                  <c:pt idx="16">
                    <c:v>218.68</c:v>
                  </c:pt>
                  <c:pt idx="17">
                    <c:v>439.07</c:v>
                  </c:pt>
                  <c:pt idx="18">
                    <c:v>849.82</c:v>
                  </c:pt>
                  <c:pt idx="19">
                    <c:v>886.69</c:v>
                  </c:pt>
                  <c:pt idx="20">
                    <c:v>137.79</c:v>
                  </c:pt>
                  <c:pt idx="21">
                    <c:v>6.58</c:v>
                  </c:pt>
                  <c:pt idx="22">
                    <c:v>888.2</c:v>
                  </c:pt>
                  <c:pt idx="23">
                    <c:v>109.35</c:v>
                  </c:pt>
                  <c:pt idx="24">
                    <c:v>144.08</c:v>
                  </c:pt>
                  <c:pt idx="25">
                    <c:v>576.59</c:v>
                  </c:pt>
                  <c:pt idx="26">
                    <c:v>954.41</c:v>
                  </c:pt>
                  <c:pt idx="27">
                    <c:v>513.82</c:v>
                  </c:pt>
                  <c:pt idx="28">
                    <c:v>767.89</c:v>
                  </c:pt>
                  <c:pt idx="29">
                    <c:v>653.79</c:v>
                  </c:pt>
                </c:lvl>
                <c:lvl>
                  <c:pt idx="0">
                    <c:v>Cash on Delivery</c:v>
                  </c:pt>
                  <c:pt idx="1">
                    <c:v>Debit Card</c:v>
                  </c:pt>
                  <c:pt idx="2">
                    <c:v>Debit Card</c:v>
                  </c:pt>
                  <c:pt idx="3">
                    <c:v>Bank Transfer</c:v>
                  </c:pt>
                  <c:pt idx="4">
                    <c:v>Debit Card</c:v>
                  </c:pt>
                  <c:pt idx="5">
                    <c:v>Bank Transfer</c:v>
                  </c:pt>
                  <c:pt idx="6">
                    <c:v>Credit Card</c:v>
                  </c:pt>
                  <c:pt idx="7">
                    <c:v>Cash on Delivery</c:v>
                  </c:pt>
                  <c:pt idx="8">
                    <c:v>Cash on Delivery</c:v>
                  </c:pt>
                  <c:pt idx="9">
                    <c:v>Cash on Delivery</c:v>
                  </c:pt>
                  <c:pt idx="10">
                    <c:v>Cash on Delivery</c:v>
                  </c:pt>
                  <c:pt idx="11">
                    <c:v>Bank Transfer</c:v>
                  </c:pt>
                  <c:pt idx="12">
                    <c:v>Credit Card</c:v>
                  </c:pt>
                  <c:pt idx="13">
                    <c:v>Debit Card</c:v>
                  </c:pt>
                  <c:pt idx="14">
                    <c:v>Cash on Delivery</c:v>
                  </c:pt>
                  <c:pt idx="15">
                    <c:v>Bank Transfer</c:v>
                  </c:pt>
                  <c:pt idx="16">
                    <c:v>Credit Card</c:v>
                  </c:pt>
                  <c:pt idx="17">
                    <c:v>PayPal</c:v>
                  </c:pt>
                  <c:pt idx="18">
                    <c:v>Cash on Delivery</c:v>
                  </c:pt>
                  <c:pt idx="19">
                    <c:v>Debit Card</c:v>
                  </c:pt>
                  <c:pt idx="20">
                    <c:v>Credit Card</c:v>
                  </c:pt>
                  <c:pt idx="21">
                    <c:v>PayPal</c:v>
                  </c:pt>
                  <c:pt idx="22">
                    <c:v>Cash on Delivery</c:v>
                  </c:pt>
                  <c:pt idx="23">
                    <c:v>Debit Card</c:v>
                  </c:pt>
                  <c:pt idx="24">
                    <c:v>Cash on Delivery</c:v>
                  </c:pt>
                  <c:pt idx="25">
                    <c:v>Bank Transfer</c:v>
                  </c:pt>
                  <c:pt idx="26">
                    <c:v>PayPal</c:v>
                  </c:pt>
                  <c:pt idx="27">
                    <c:v>Credit Card</c:v>
                  </c:pt>
                  <c:pt idx="28">
                    <c:v>Credit Card</c:v>
                  </c:pt>
                  <c:pt idx="29">
                    <c:v>Cash on Delivery</c:v>
                  </c:pt>
                </c:lvl>
                <c:lvl>
                  <c:pt idx="0">
                    <c:v>Clothing</c:v>
                  </c:pt>
                  <c:pt idx="1">
                    <c:v>Beauty</c:v>
                  </c:pt>
                  <c:pt idx="2">
                    <c:v>Toys</c:v>
                  </c:pt>
                  <c:pt idx="3">
                    <c:v>Beauty</c:v>
                  </c:pt>
                  <c:pt idx="4">
                    <c:v>Electronics</c:v>
                  </c:pt>
                  <c:pt idx="5">
                    <c:v>Books</c:v>
                  </c:pt>
                  <c:pt idx="6">
                    <c:v>Beauty</c:v>
                  </c:pt>
                  <c:pt idx="7">
                    <c:v>Sports</c:v>
                  </c:pt>
                  <c:pt idx="8">
                    <c:v>Books</c:v>
                  </c:pt>
                  <c:pt idx="9">
                    <c:v>Toys</c:v>
                  </c:pt>
                  <c:pt idx="10">
                    <c:v>Clothing</c:v>
                  </c:pt>
                  <c:pt idx="11">
                    <c:v>Sports</c:v>
                  </c:pt>
                  <c:pt idx="12">
                    <c:v>Electronics</c:v>
                  </c:pt>
                  <c:pt idx="13">
                    <c:v>Home &amp; Kitchen</c:v>
                  </c:pt>
                  <c:pt idx="14">
                    <c:v>Toys</c:v>
                  </c:pt>
                  <c:pt idx="15">
                    <c:v>Toys</c:v>
                  </c:pt>
                  <c:pt idx="16">
                    <c:v>Beauty</c:v>
                  </c:pt>
                  <c:pt idx="17">
                    <c:v>Clothing</c:v>
                  </c:pt>
                  <c:pt idx="18">
                    <c:v>Books</c:v>
                  </c:pt>
                  <c:pt idx="19">
                    <c:v>Electronics</c:v>
                  </c:pt>
                  <c:pt idx="20">
                    <c:v>Toys</c:v>
                  </c:pt>
                  <c:pt idx="21">
                    <c:v>Electronics</c:v>
                  </c:pt>
                  <c:pt idx="22">
                    <c:v>Toys</c:v>
                  </c:pt>
                  <c:pt idx="23">
                    <c:v>Toys</c:v>
                  </c:pt>
                  <c:pt idx="24">
                    <c:v>Electronics</c:v>
                  </c:pt>
                  <c:pt idx="25">
                    <c:v>Sports</c:v>
                  </c:pt>
                  <c:pt idx="26">
                    <c:v>Electronics</c:v>
                  </c:pt>
                  <c:pt idx="27">
                    <c:v>Home &amp; Kitchen</c:v>
                  </c:pt>
                  <c:pt idx="28">
                    <c:v>Sports</c:v>
                  </c:pt>
                  <c:pt idx="29">
                    <c:v>Beauty</c:v>
                  </c:pt>
                </c:lvl>
                <c:lvl>
                  <c:pt idx="0">
                    <c:v>295</c:v>
                  </c:pt>
                  <c:pt idx="1">
                    <c:v>546</c:v>
                  </c:pt>
                  <c:pt idx="2">
                    <c:v>430</c:v>
                  </c:pt>
                  <c:pt idx="3">
                    <c:v>807</c:v>
                  </c:pt>
                  <c:pt idx="4">
                    <c:v>319</c:v>
                  </c:pt>
                  <c:pt idx="5">
                    <c:v>282</c:v>
                  </c:pt>
                  <c:pt idx="6">
                    <c:v>276</c:v>
                  </c:pt>
                  <c:pt idx="7">
                    <c:v>574</c:v>
                  </c:pt>
                  <c:pt idx="8">
                    <c:v>948</c:v>
                  </c:pt>
                  <c:pt idx="9">
                    <c:v>459</c:v>
                  </c:pt>
                  <c:pt idx="10">
                    <c:v>745</c:v>
                  </c:pt>
                  <c:pt idx="11">
                    <c:v>564</c:v>
                  </c:pt>
                  <c:pt idx="12">
                    <c:v>334</c:v>
                  </c:pt>
                  <c:pt idx="13">
                    <c:v>536</c:v>
                  </c:pt>
                  <c:pt idx="14">
                    <c:v>239</c:v>
                  </c:pt>
                  <c:pt idx="15">
                    <c:v>587</c:v>
                  </c:pt>
                  <c:pt idx="16">
                    <c:v>868</c:v>
                  </c:pt>
                  <c:pt idx="17">
                    <c:v>384</c:v>
                  </c:pt>
                  <c:pt idx="18">
                    <c:v>701</c:v>
                  </c:pt>
                  <c:pt idx="19">
                    <c:v>427</c:v>
                  </c:pt>
                  <c:pt idx="20">
                    <c:v>150</c:v>
                  </c:pt>
                  <c:pt idx="21">
                    <c:v>797</c:v>
                  </c:pt>
                  <c:pt idx="22">
                    <c:v>577</c:v>
                  </c:pt>
                  <c:pt idx="23">
                    <c:v>385</c:v>
                  </c:pt>
                  <c:pt idx="24">
                    <c:v>419</c:v>
                  </c:pt>
                  <c:pt idx="25">
                    <c:v>733</c:v>
                  </c:pt>
                  <c:pt idx="26">
                    <c:v>278</c:v>
                  </c:pt>
                  <c:pt idx="27">
                    <c:v>231</c:v>
                  </c:pt>
                  <c:pt idx="28">
                    <c:v>699</c:v>
                  </c:pt>
                  <c:pt idx="29">
                    <c:v>829</c:v>
                  </c:pt>
                </c:lvl>
                <c:lvl>
                  <c:pt idx="0">
                    <c:v>8270</c:v>
                  </c:pt>
                  <c:pt idx="1">
                    <c:v>1860</c:v>
                  </c:pt>
                  <c:pt idx="2">
                    <c:v>6390</c:v>
                  </c:pt>
                  <c:pt idx="3">
                    <c:v>6191</c:v>
                  </c:pt>
                  <c:pt idx="4">
                    <c:v>6734</c:v>
                  </c:pt>
                  <c:pt idx="5">
                    <c:v>7265</c:v>
                  </c:pt>
                  <c:pt idx="6">
                    <c:v>1466</c:v>
                  </c:pt>
                  <c:pt idx="7">
                    <c:v>5426</c:v>
                  </c:pt>
                  <c:pt idx="8">
                    <c:v>6578</c:v>
                  </c:pt>
                  <c:pt idx="9">
                    <c:v>9322</c:v>
                  </c:pt>
                  <c:pt idx="10">
                    <c:v>2685</c:v>
                  </c:pt>
                  <c:pt idx="11">
                    <c:v>1769</c:v>
                  </c:pt>
                  <c:pt idx="12">
                    <c:v>7949</c:v>
                  </c:pt>
                  <c:pt idx="13">
                    <c:v>3433</c:v>
                  </c:pt>
                  <c:pt idx="14">
                    <c:v>6311</c:v>
                  </c:pt>
                  <c:pt idx="15">
                    <c:v>6051</c:v>
                  </c:pt>
                  <c:pt idx="16">
                    <c:v>7420</c:v>
                  </c:pt>
                  <c:pt idx="17">
                    <c:v>2184</c:v>
                  </c:pt>
                  <c:pt idx="18">
                    <c:v>5555</c:v>
                  </c:pt>
                  <c:pt idx="19">
                    <c:v>4385</c:v>
                  </c:pt>
                  <c:pt idx="20">
                    <c:v>7396</c:v>
                  </c:pt>
                  <c:pt idx="21">
                    <c:v>9666</c:v>
                  </c:pt>
                  <c:pt idx="22">
                    <c:v>3558</c:v>
                  </c:pt>
                  <c:pt idx="23">
                    <c:v>8849</c:v>
                  </c:pt>
                  <c:pt idx="24">
                    <c:v>3047</c:v>
                  </c:pt>
                  <c:pt idx="25">
                    <c:v>3747</c:v>
                  </c:pt>
                  <c:pt idx="26">
                    <c:v>1189</c:v>
                  </c:pt>
                  <c:pt idx="27">
                    <c:v>3734</c:v>
                  </c:pt>
                  <c:pt idx="28">
                    <c:v>4005</c:v>
                  </c:pt>
                  <c:pt idx="29">
                    <c:v>5658</c:v>
                  </c:pt>
                </c:lvl>
                <c:lvl>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lvl>
              </c:multiLvlStrCache>
            </c:multiLvlStrRef>
          </c:cat>
          <c:val>
            <c:numRef>
              <c:f>ecommerce_sales_data!$N$2:$N$31</c:f>
              <c:numCache>
                <c:formatCode>General</c:formatCode>
                <c:ptCount val="30"/>
                <c:pt idx="0">
                  <c:v>83.36</c:v>
                </c:pt>
                <c:pt idx="1">
                  <c:v>58.88</c:v>
                </c:pt>
                <c:pt idx="2">
                  <c:v>53.99</c:v>
                </c:pt>
                <c:pt idx="3">
                  <c:v>11.73</c:v>
                </c:pt>
                <c:pt idx="4">
                  <c:v>34.79</c:v>
                </c:pt>
                <c:pt idx="5">
                  <c:v>25.78</c:v>
                </c:pt>
                <c:pt idx="6">
                  <c:v>68.36</c:v>
                </c:pt>
                <c:pt idx="7">
                  <c:v>19.23</c:v>
                </c:pt>
                <c:pt idx="8">
                  <c:v>28.61</c:v>
                </c:pt>
                <c:pt idx="9">
                  <c:v>35.18</c:v>
                </c:pt>
                <c:pt idx="10">
                  <c:v>76.819999999999993</c:v>
                </c:pt>
                <c:pt idx="11">
                  <c:v>26.24</c:v>
                </c:pt>
                <c:pt idx="12">
                  <c:v>39.909999999999997</c:v>
                </c:pt>
                <c:pt idx="13">
                  <c:v>69.39</c:v>
                </c:pt>
                <c:pt idx="14">
                  <c:v>10.33</c:v>
                </c:pt>
                <c:pt idx="15">
                  <c:v>41.77</c:v>
                </c:pt>
                <c:pt idx="16">
                  <c:v>9.93</c:v>
                </c:pt>
                <c:pt idx="17">
                  <c:v>97.73</c:v>
                </c:pt>
                <c:pt idx="18">
                  <c:v>54.32</c:v>
                </c:pt>
                <c:pt idx="19">
                  <c:v>57.35</c:v>
                </c:pt>
                <c:pt idx="20">
                  <c:v>41.08</c:v>
                </c:pt>
                <c:pt idx="21">
                  <c:v>88.02</c:v>
                </c:pt>
                <c:pt idx="22">
                  <c:v>67.510000000000005</c:v>
                </c:pt>
                <c:pt idx="23">
                  <c:v>18.760000000000002</c:v>
                </c:pt>
                <c:pt idx="24">
                  <c:v>33.4</c:v>
                </c:pt>
                <c:pt idx="25">
                  <c:v>21.91</c:v>
                </c:pt>
                <c:pt idx="26">
                  <c:v>81.489999999999995</c:v>
                </c:pt>
                <c:pt idx="27">
                  <c:v>77.27</c:v>
                </c:pt>
                <c:pt idx="28">
                  <c:v>26.78</c:v>
                </c:pt>
                <c:pt idx="29">
                  <c:v>39.340000000000003</c:v>
                </c:pt>
              </c:numCache>
            </c:numRef>
          </c:val>
          <c:extLst>
            <c:ext xmlns:c16="http://schemas.microsoft.com/office/drawing/2014/chart" uri="{C3380CC4-5D6E-409C-BE32-E72D297353CC}">
              <c16:uniqueId val="{00000000-9604-43A2-9E2B-9E78B443D847}"/>
            </c:ext>
          </c:extLst>
        </c:ser>
        <c:ser>
          <c:idx val="1"/>
          <c:order val="1"/>
          <c:tx>
            <c:strRef>
              <c:f>ecommerce_sales_data!$O$1</c:f>
              <c:strCache>
                <c:ptCount val="1"/>
                <c:pt idx="0">
                  <c:v>Quantity</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dPt>
            <c:idx val="4"/>
            <c:bubble3D val="0"/>
            <c:spPr>
              <a:solidFill>
                <a:schemeClr val="accent5"/>
              </a:solidFill>
              <a:ln w="25400">
                <a:solidFill>
                  <a:schemeClr val="lt1"/>
                </a:solidFill>
              </a:ln>
              <a:effectLst/>
              <a:sp3d contourW="25400">
                <a:contourClr>
                  <a:schemeClr val="lt1"/>
                </a:contourClr>
              </a:sp3d>
            </c:spPr>
          </c:dPt>
          <c:dPt>
            <c:idx val="5"/>
            <c:bubble3D val="0"/>
            <c:spPr>
              <a:solidFill>
                <a:schemeClr val="accent6"/>
              </a:solidFill>
              <a:ln w="25400">
                <a:solidFill>
                  <a:schemeClr val="lt1"/>
                </a:solidFill>
              </a:ln>
              <a:effectLst/>
              <a:sp3d contourW="25400">
                <a:contourClr>
                  <a:schemeClr val="lt1"/>
                </a:contourClr>
              </a:sp3d>
            </c:spPr>
          </c:dPt>
          <c:dPt>
            <c:idx val="6"/>
            <c:bubble3D val="0"/>
            <c:spPr>
              <a:solidFill>
                <a:schemeClr val="accent1">
                  <a:lumMod val="60000"/>
                </a:schemeClr>
              </a:solidFill>
              <a:ln w="25400">
                <a:solidFill>
                  <a:schemeClr val="lt1"/>
                </a:solidFill>
              </a:ln>
              <a:effectLst/>
              <a:sp3d contourW="25400">
                <a:contourClr>
                  <a:schemeClr val="lt1"/>
                </a:contourClr>
              </a:sp3d>
            </c:spPr>
          </c:dPt>
          <c:dPt>
            <c:idx val="7"/>
            <c:bubble3D val="0"/>
            <c:spPr>
              <a:solidFill>
                <a:schemeClr val="accent2">
                  <a:lumMod val="60000"/>
                </a:schemeClr>
              </a:solidFill>
              <a:ln w="25400">
                <a:solidFill>
                  <a:schemeClr val="lt1"/>
                </a:solidFill>
              </a:ln>
              <a:effectLst/>
              <a:sp3d contourW="25400">
                <a:contourClr>
                  <a:schemeClr val="lt1"/>
                </a:contourClr>
              </a:sp3d>
            </c:spPr>
          </c:dPt>
          <c:dPt>
            <c:idx val="8"/>
            <c:bubble3D val="0"/>
            <c:spPr>
              <a:solidFill>
                <a:schemeClr val="accent3">
                  <a:lumMod val="60000"/>
                </a:schemeClr>
              </a:solidFill>
              <a:ln w="25400">
                <a:solidFill>
                  <a:schemeClr val="lt1"/>
                </a:solidFill>
              </a:ln>
              <a:effectLst/>
              <a:sp3d contourW="25400">
                <a:contourClr>
                  <a:schemeClr val="lt1"/>
                </a:contourClr>
              </a:sp3d>
            </c:spPr>
          </c:dPt>
          <c:dPt>
            <c:idx val="9"/>
            <c:bubble3D val="0"/>
            <c:spPr>
              <a:solidFill>
                <a:schemeClr val="accent4">
                  <a:lumMod val="60000"/>
                </a:schemeClr>
              </a:solidFill>
              <a:ln w="25400">
                <a:solidFill>
                  <a:schemeClr val="lt1"/>
                </a:solidFill>
              </a:ln>
              <a:effectLst/>
              <a:sp3d contourW="25400">
                <a:contourClr>
                  <a:schemeClr val="lt1"/>
                </a:contourClr>
              </a:sp3d>
            </c:spPr>
          </c:dPt>
          <c:dPt>
            <c:idx val="10"/>
            <c:bubble3D val="0"/>
            <c:spPr>
              <a:solidFill>
                <a:schemeClr val="accent5">
                  <a:lumMod val="60000"/>
                </a:schemeClr>
              </a:solidFill>
              <a:ln w="25400">
                <a:solidFill>
                  <a:schemeClr val="lt1"/>
                </a:solidFill>
              </a:ln>
              <a:effectLst/>
              <a:sp3d contourW="25400">
                <a:contourClr>
                  <a:schemeClr val="lt1"/>
                </a:contourClr>
              </a:sp3d>
            </c:spPr>
          </c:dPt>
          <c:dPt>
            <c:idx val="11"/>
            <c:bubble3D val="0"/>
            <c:spPr>
              <a:solidFill>
                <a:schemeClr val="accent6">
                  <a:lumMod val="60000"/>
                </a:schemeClr>
              </a:solidFill>
              <a:ln w="25400">
                <a:solidFill>
                  <a:schemeClr val="lt1"/>
                </a:solidFill>
              </a:ln>
              <a:effectLst/>
              <a:sp3d contourW="25400">
                <a:contourClr>
                  <a:schemeClr val="lt1"/>
                </a:contourClr>
              </a:sp3d>
            </c:spPr>
          </c:dPt>
          <c:dPt>
            <c:idx val="12"/>
            <c:bubble3D val="0"/>
            <c:spPr>
              <a:solidFill>
                <a:schemeClr val="accent1">
                  <a:lumMod val="80000"/>
                  <a:lumOff val="20000"/>
                </a:schemeClr>
              </a:solidFill>
              <a:ln w="25400">
                <a:solidFill>
                  <a:schemeClr val="lt1"/>
                </a:solidFill>
              </a:ln>
              <a:effectLst/>
              <a:sp3d contourW="25400">
                <a:contourClr>
                  <a:schemeClr val="lt1"/>
                </a:contourClr>
              </a:sp3d>
            </c:spPr>
          </c:dPt>
          <c:dPt>
            <c:idx val="13"/>
            <c:bubble3D val="0"/>
            <c:spPr>
              <a:solidFill>
                <a:schemeClr val="accent2">
                  <a:lumMod val="80000"/>
                  <a:lumOff val="20000"/>
                </a:schemeClr>
              </a:solidFill>
              <a:ln w="25400">
                <a:solidFill>
                  <a:schemeClr val="lt1"/>
                </a:solidFill>
              </a:ln>
              <a:effectLst/>
              <a:sp3d contourW="25400">
                <a:contourClr>
                  <a:schemeClr val="lt1"/>
                </a:contourClr>
              </a:sp3d>
            </c:spPr>
          </c:dPt>
          <c:dPt>
            <c:idx val="14"/>
            <c:bubble3D val="0"/>
            <c:spPr>
              <a:solidFill>
                <a:schemeClr val="accent3">
                  <a:lumMod val="80000"/>
                  <a:lumOff val="20000"/>
                </a:schemeClr>
              </a:solidFill>
              <a:ln w="25400">
                <a:solidFill>
                  <a:schemeClr val="lt1"/>
                </a:solidFill>
              </a:ln>
              <a:effectLst/>
              <a:sp3d contourW="25400">
                <a:contourClr>
                  <a:schemeClr val="lt1"/>
                </a:contourClr>
              </a:sp3d>
            </c:spPr>
          </c:dPt>
          <c:dPt>
            <c:idx val="15"/>
            <c:bubble3D val="0"/>
            <c:spPr>
              <a:solidFill>
                <a:schemeClr val="accent4">
                  <a:lumMod val="80000"/>
                  <a:lumOff val="20000"/>
                </a:schemeClr>
              </a:solidFill>
              <a:ln w="25400">
                <a:solidFill>
                  <a:schemeClr val="lt1"/>
                </a:solidFill>
              </a:ln>
              <a:effectLst/>
              <a:sp3d contourW="25400">
                <a:contourClr>
                  <a:schemeClr val="lt1"/>
                </a:contourClr>
              </a:sp3d>
            </c:spPr>
          </c:dPt>
          <c:dPt>
            <c:idx val="16"/>
            <c:bubble3D val="0"/>
            <c:spPr>
              <a:solidFill>
                <a:schemeClr val="accent5">
                  <a:lumMod val="80000"/>
                  <a:lumOff val="20000"/>
                </a:schemeClr>
              </a:solidFill>
              <a:ln w="25400">
                <a:solidFill>
                  <a:schemeClr val="lt1"/>
                </a:solidFill>
              </a:ln>
              <a:effectLst/>
              <a:sp3d contourW="25400">
                <a:contourClr>
                  <a:schemeClr val="lt1"/>
                </a:contourClr>
              </a:sp3d>
            </c:spPr>
          </c:dPt>
          <c:dPt>
            <c:idx val="17"/>
            <c:bubble3D val="0"/>
            <c:spPr>
              <a:solidFill>
                <a:schemeClr val="accent6">
                  <a:lumMod val="80000"/>
                  <a:lumOff val="20000"/>
                </a:schemeClr>
              </a:solidFill>
              <a:ln w="25400">
                <a:solidFill>
                  <a:schemeClr val="lt1"/>
                </a:solidFill>
              </a:ln>
              <a:effectLst/>
              <a:sp3d contourW="25400">
                <a:contourClr>
                  <a:schemeClr val="lt1"/>
                </a:contourClr>
              </a:sp3d>
            </c:spPr>
          </c:dPt>
          <c:dPt>
            <c:idx val="18"/>
            <c:bubble3D val="0"/>
            <c:spPr>
              <a:solidFill>
                <a:schemeClr val="accent1">
                  <a:lumMod val="80000"/>
                </a:schemeClr>
              </a:solidFill>
              <a:ln w="25400">
                <a:solidFill>
                  <a:schemeClr val="lt1"/>
                </a:solidFill>
              </a:ln>
              <a:effectLst/>
              <a:sp3d contourW="25400">
                <a:contourClr>
                  <a:schemeClr val="lt1"/>
                </a:contourClr>
              </a:sp3d>
            </c:spPr>
          </c:dPt>
          <c:dPt>
            <c:idx val="19"/>
            <c:bubble3D val="0"/>
            <c:spPr>
              <a:solidFill>
                <a:schemeClr val="accent2">
                  <a:lumMod val="80000"/>
                </a:schemeClr>
              </a:solidFill>
              <a:ln w="25400">
                <a:solidFill>
                  <a:schemeClr val="lt1"/>
                </a:solidFill>
              </a:ln>
              <a:effectLst/>
              <a:sp3d contourW="25400">
                <a:contourClr>
                  <a:schemeClr val="lt1"/>
                </a:contourClr>
              </a:sp3d>
            </c:spPr>
          </c:dPt>
          <c:dPt>
            <c:idx val="20"/>
            <c:bubble3D val="0"/>
            <c:spPr>
              <a:solidFill>
                <a:schemeClr val="accent3">
                  <a:lumMod val="80000"/>
                </a:schemeClr>
              </a:solidFill>
              <a:ln w="25400">
                <a:solidFill>
                  <a:schemeClr val="lt1"/>
                </a:solidFill>
              </a:ln>
              <a:effectLst/>
              <a:sp3d contourW="25400">
                <a:contourClr>
                  <a:schemeClr val="lt1"/>
                </a:contourClr>
              </a:sp3d>
            </c:spPr>
          </c:dPt>
          <c:dPt>
            <c:idx val="21"/>
            <c:bubble3D val="0"/>
            <c:spPr>
              <a:solidFill>
                <a:schemeClr val="accent4">
                  <a:lumMod val="80000"/>
                </a:schemeClr>
              </a:solidFill>
              <a:ln w="25400">
                <a:solidFill>
                  <a:schemeClr val="lt1"/>
                </a:solidFill>
              </a:ln>
              <a:effectLst/>
              <a:sp3d contourW="25400">
                <a:contourClr>
                  <a:schemeClr val="lt1"/>
                </a:contourClr>
              </a:sp3d>
            </c:spPr>
          </c:dPt>
          <c:dPt>
            <c:idx val="22"/>
            <c:bubble3D val="0"/>
            <c:spPr>
              <a:solidFill>
                <a:schemeClr val="accent5">
                  <a:lumMod val="80000"/>
                </a:schemeClr>
              </a:solidFill>
              <a:ln w="25400">
                <a:solidFill>
                  <a:schemeClr val="lt1"/>
                </a:solidFill>
              </a:ln>
              <a:effectLst/>
              <a:sp3d contourW="25400">
                <a:contourClr>
                  <a:schemeClr val="lt1"/>
                </a:contourClr>
              </a:sp3d>
            </c:spPr>
          </c:dPt>
          <c:dPt>
            <c:idx val="23"/>
            <c:bubble3D val="0"/>
            <c:spPr>
              <a:solidFill>
                <a:schemeClr val="accent6">
                  <a:lumMod val="80000"/>
                </a:schemeClr>
              </a:solidFill>
              <a:ln w="25400">
                <a:solidFill>
                  <a:schemeClr val="lt1"/>
                </a:solidFill>
              </a:ln>
              <a:effectLst/>
              <a:sp3d contourW="25400">
                <a:contourClr>
                  <a:schemeClr val="lt1"/>
                </a:contourClr>
              </a:sp3d>
            </c:spPr>
          </c:dPt>
          <c:dPt>
            <c:idx val="24"/>
            <c:bubble3D val="0"/>
            <c:spPr>
              <a:solidFill>
                <a:schemeClr val="accent1">
                  <a:lumMod val="60000"/>
                  <a:lumOff val="40000"/>
                </a:schemeClr>
              </a:solidFill>
              <a:ln w="25400">
                <a:solidFill>
                  <a:schemeClr val="lt1"/>
                </a:solidFill>
              </a:ln>
              <a:effectLst/>
              <a:sp3d contourW="25400">
                <a:contourClr>
                  <a:schemeClr val="lt1"/>
                </a:contourClr>
              </a:sp3d>
            </c:spPr>
          </c:dPt>
          <c:dPt>
            <c:idx val="25"/>
            <c:bubble3D val="0"/>
            <c:spPr>
              <a:solidFill>
                <a:schemeClr val="accent2">
                  <a:lumMod val="60000"/>
                  <a:lumOff val="40000"/>
                </a:schemeClr>
              </a:solidFill>
              <a:ln w="25400">
                <a:solidFill>
                  <a:schemeClr val="lt1"/>
                </a:solidFill>
              </a:ln>
              <a:effectLst/>
              <a:sp3d contourW="25400">
                <a:contourClr>
                  <a:schemeClr val="lt1"/>
                </a:contourClr>
              </a:sp3d>
            </c:spPr>
          </c:dPt>
          <c:dPt>
            <c:idx val="26"/>
            <c:bubble3D val="0"/>
            <c:spPr>
              <a:solidFill>
                <a:schemeClr val="accent3">
                  <a:lumMod val="60000"/>
                  <a:lumOff val="40000"/>
                </a:schemeClr>
              </a:solidFill>
              <a:ln w="25400">
                <a:solidFill>
                  <a:schemeClr val="lt1"/>
                </a:solidFill>
              </a:ln>
              <a:effectLst/>
              <a:sp3d contourW="25400">
                <a:contourClr>
                  <a:schemeClr val="lt1"/>
                </a:contourClr>
              </a:sp3d>
            </c:spPr>
          </c:dPt>
          <c:dPt>
            <c:idx val="27"/>
            <c:bubble3D val="0"/>
            <c:spPr>
              <a:solidFill>
                <a:schemeClr val="accent4">
                  <a:lumMod val="60000"/>
                  <a:lumOff val="40000"/>
                </a:schemeClr>
              </a:solidFill>
              <a:ln w="25400">
                <a:solidFill>
                  <a:schemeClr val="lt1"/>
                </a:solidFill>
              </a:ln>
              <a:effectLst/>
              <a:sp3d contourW="25400">
                <a:contourClr>
                  <a:schemeClr val="lt1"/>
                </a:contourClr>
              </a:sp3d>
            </c:spPr>
          </c:dPt>
          <c:dPt>
            <c:idx val="28"/>
            <c:bubble3D val="0"/>
            <c:spPr>
              <a:solidFill>
                <a:schemeClr val="accent5">
                  <a:lumMod val="60000"/>
                  <a:lumOff val="40000"/>
                </a:schemeClr>
              </a:solidFill>
              <a:ln w="25400">
                <a:solidFill>
                  <a:schemeClr val="lt1"/>
                </a:solidFill>
              </a:ln>
              <a:effectLst/>
              <a:sp3d contourW="25400">
                <a:contourClr>
                  <a:schemeClr val="lt1"/>
                </a:contourClr>
              </a:sp3d>
            </c:spPr>
          </c:dPt>
          <c:dPt>
            <c:idx val="29"/>
            <c:bubble3D val="0"/>
            <c:spPr>
              <a:solidFill>
                <a:schemeClr val="accent6">
                  <a:lumMod val="60000"/>
                  <a:lumOff val="40000"/>
                </a:schemeClr>
              </a:solidFill>
              <a:ln w="25400">
                <a:solidFill>
                  <a:schemeClr val="lt1"/>
                </a:solidFill>
              </a:ln>
              <a:effectLst/>
              <a:sp3d contourW="25400">
                <a:contourClr>
                  <a:schemeClr val="lt1"/>
                </a:contourClr>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multiLvlStrRef>
              <c:f>ecommerce_sales_data!$A$2:$M$31</c:f>
              <c:multiLvlStrCache>
                <c:ptCount val="30"/>
                <c:lvl>
                  <c:pt idx="0">
                    <c:v>Medium</c:v>
                  </c:pt>
                  <c:pt idx="1">
                    <c:v>High</c:v>
                  </c:pt>
                  <c:pt idx="2">
                    <c:v>High</c:v>
                  </c:pt>
                  <c:pt idx="3">
                    <c:v>Low</c:v>
                  </c:pt>
                  <c:pt idx="4">
                    <c:v>High</c:v>
                  </c:pt>
                  <c:pt idx="5">
                    <c:v>High</c:v>
                  </c:pt>
                  <c:pt idx="6">
                    <c:v>Low</c:v>
                  </c:pt>
                  <c:pt idx="7">
                    <c:v>High</c:v>
                  </c:pt>
                  <c:pt idx="8">
                    <c:v>Low</c:v>
                  </c:pt>
                  <c:pt idx="9">
                    <c:v>Low</c:v>
                  </c:pt>
                  <c:pt idx="10">
                    <c:v>Low</c:v>
                  </c:pt>
                  <c:pt idx="11">
                    <c:v>High</c:v>
                  </c:pt>
                  <c:pt idx="12">
                    <c:v>Low</c:v>
                  </c:pt>
                  <c:pt idx="13">
                    <c:v>Low</c:v>
                  </c:pt>
                  <c:pt idx="14">
                    <c:v>High</c:v>
                  </c:pt>
                  <c:pt idx="15">
                    <c:v>Low</c:v>
                  </c:pt>
                  <c:pt idx="16">
                    <c:v>Medium</c:v>
                  </c:pt>
                  <c:pt idx="17">
                    <c:v>Medium</c:v>
                  </c:pt>
                  <c:pt idx="18">
                    <c:v>Low</c:v>
                  </c:pt>
                  <c:pt idx="19">
                    <c:v>Low</c:v>
                  </c:pt>
                  <c:pt idx="20">
                    <c:v>Medium</c:v>
                  </c:pt>
                  <c:pt idx="21">
                    <c:v>Medium</c:v>
                  </c:pt>
                  <c:pt idx="22">
                    <c:v>Medium</c:v>
                  </c:pt>
                  <c:pt idx="23">
                    <c:v>High</c:v>
                  </c:pt>
                  <c:pt idx="24">
                    <c:v>High</c:v>
                  </c:pt>
                  <c:pt idx="25">
                    <c:v>Low</c:v>
                  </c:pt>
                  <c:pt idx="26">
                    <c:v>Low</c:v>
                  </c:pt>
                  <c:pt idx="27">
                    <c:v>Low</c:v>
                  </c:pt>
                  <c:pt idx="28">
                    <c:v>High</c:v>
                  </c:pt>
                  <c:pt idx="29">
                    <c:v>Low</c:v>
                  </c:pt>
                </c:lvl>
                <c:lvl>
                  <c:pt idx="0">
                    <c:v>Female</c:v>
                  </c:pt>
                  <c:pt idx="1">
                    <c:v>Other</c:v>
                  </c:pt>
                  <c:pt idx="2">
                    <c:v>Female</c:v>
                  </c:pt>
                  <c:pt idx="3">
                    <c:v>Female</c:v>
                  </c:pt>
                  <c:pt idx="4">
                    <c:v>Other</c:v>
                  </c:pt>
                  <c:pt idx="5">
                    <c:v>Male</c:v>
                  </c:pt>
                  <c:pt idx="6">
                    <c:v>Male</c:v>
                  </c:pt>
                  <c:pt idx="7">
                    <c:v>Female</c:v>
                  </c:pt>
                  <c:pt idx="8">
                    <c:v>Male</c:v>
                  </c:pt>
                  <c:pt idx="9">
                    <c:v>Female</c:v>
                  </c:pt>
                  <c:pt idx="10">
                    <c:v>Other</c:v>
                  </c:pt>
                  <c:pt idx="11">
                    <c:v>Other</c:v>
                  </c:pt>
                  <c:pt idx="12">
                    <c:v>Other</c:v>
                  </c:pt>
                  <c:pt idx="13">
                    <c:v>Male</c:v>
                  </c:pt>
                  <c:pt idx="14">
                    <c:v>Other</c:v>
                  </c:pt>
                  <c:pt idx="15">
                    <c:v>Other</c:v>
                  </c:pt>
                  <c:pt idx="16">
                    <c:v>Other</c:v>
                  </c:pt>
                  <c:pt idx="17">
                    <c:v>Other</c:v>
                  </c:pt>
                  <c:pt idx="18">
                    <c:v>Female</c:v>
                  </c:pt>
                  <c:pt idx="19">
                    <c:v>Other</c:v>
                  </c:pt>
                  <c:pt idx="20">
                    <c:v>Male</c:v>
                  </c:pt>
                  <c:pt idx="21">
                    <c:v>Female</c:v>
                  </c:pt>
                  <c:pt idx="22">
                    <c:v>Other</c:v>
                  </c:pt>
                  <c:pt idx="23">
                    <c:v>Female</c:v>
                  </c:pt>
                  <c:pt idx="24">
                    <c:v>Male</c:v>
                  </c:pt>
                  <c:pt idx="25">
                    <c:v>Male</c:v>
                  </c:pt>
                  <c:pt idx="26">
                    <c:v>Male</c:v>
                  </c:pt>
                  <c:pt idx="27">
                    <c:v>Male</c:v>
                  </c:pt>
                  <c:pt idx="28">
                    <c:v>Other</c:v>
                  </c:pt>
                  <c:pt idx="29">
                    <c:v>Female</c:v>
                  </c:pt>
                </c:lvl>
                <c:lvl>
                  <c:pt idx="0">
                    <c:v>46</c:v>
                  </c:pt>
                  <c:pt idx="1">
                    <c:v>59</c:v>
                  </c:pt>
                  <c:pt idx="2">
                    <c:v>61</c:v>
                  </c:pt>
                  <c:pt idx="3">
                    <c:v>69</c:v>
                  </c:pt>
                  <c:pt idx="4">
                    <c:v>29</c:v>
                  </c:pt>
                  <c:pt idx="5">
                    <c:v>60</c:v>
                  </c:pt>
                  <c:pt idx="6">
                    <c:v>69</c:v>
                  </c:pt>
                  <c:pt idx="7">
                    <c:v>45</c:v>
                  </c:pt>
                  <c:pt idx="8">
                    <c:v>37</c:v>
                  </c:pt>
                  <c:pt idx="9">
                    <c:v>67</c:v>
                  </c:pt>
                  <c:pt idx="10">
                    <c:v>36</c:v>
                  </c:pt>
                  <c:pt idx="11">
                    <c:v>61</c:v>
                  </c:pt>
                  <c:pt idx="12">
                    <c:v>65</c:v>
                  </c:pt>
                  <c:pt idx="13">
                    <c:v>35</c:v>
                  </c:pt>
                  <c:pt idx="14">
                    <c:v>20</c:v>
                  </c:pt>
                  <c:pt idx="15">
                    <c:v>46</c:v>
                  </c:pt>
                  <c:pt idx="16">
                    <c:v>21</c:v>
                  </c:pt>
                  <c:pt idx="17">
                    <c:v>23</c:v>
                  </c:pt>
                  <c:pt idx="18">
                    <c:v>52</c:v>
                  </c:pt>
                  <c:pt idx="19">
                    <c:v>46</c:v>
                  </c:pt>
                  <c:pt idx="20">
                    <c:v>60</c:v>
                  </c:pt>
                  <c:pt idx="21">
                    <c:v>54</c:v>
                  </c:pt>
                  <c:pt idx="22">
                    <c:v>29</c:v>
                  </c:pt>
                  <c:pt idx="23">
                    <c:v>45</c:v>
                  </c:pt>
                  <c:pt idx="24">
                    <c:v>38</c:v>
                  </c:pt>
                  <c:pt idx="25">
                    <c:v>52</c:v>
                  </c:pt>
                  <c:pt idx="26">
                    <c:v>66</c:v>
                  </c:pt>
                  <c:pt idx="27">
                    <c:v>34</c:v>
                  </c:pt>
                  <c:pt idx="28">
                    <c:v>52</c:v>
                  </c:pt>
                  <c:pt idx="29">
                    <c:v>68</c:v>
                  </c:pt>
                </c:lvl>
                <c:lvl>
                  <c:pt idx="0">
                    <c:v>New Juan</c:v>
                  </c:pt>
                  <c:pt idx="1">
                    <c:v>South Julie</c:v>
                  </c:pt>
                  <c:pt idx="2">
                    <c:v>West Carrieview</c:v>
                  </c:pt>
                  <c:pt idx="3">
                    <c:v>Christianberg</c:v>
                  </c:pt>
                  <c:pt idx="4">
                    <c:v>South Williamhaven</c:v>
                  </c:pt>
                  <c:pt idx="5">
                    <c:v>Stephenfort</c:v>
                  </c:pt>
                  <c:pt idx="6">
                    <c:v>North Terristad</c:v>
                  </c:pt>
                  <c:pt idx="7">
                    <c:v>Pachecotown</c:v>
                  </c:pt>
                  <c:pt idx="8">
                    <c:v>Port Philipberg</c:v>
                  </c:pt>
                  <c:pt idx="9">
                    <c:v>Jenniferfurt</c:v>
                  </c:pt>
                  <c:pt idx="10">
                    <c:v>Lake Carolyn</c:v>
                  </c:pt>
                  <c:pt idx="11">
                    <c:v>Amandaborough</c:v>
                  </c:pt>
                  <c:pt idx="12">
                    <c:v>South Maria</c:v>
                  </c:pt>
                  <c:pt idx="13">
                    <c:v>West Marissa</c:v>
                  </c:pt>
                  <c:pt idx="14">
                    <c:v>Austinburgh</c:v>
                  </c:pt>
                  <c:pt idx="15">
                    <c:v>Lake Jesse</c:v>
                  </c:pt>
                  <c:pt idx="16">
                    <c:v>Marioburgh</c:v>
                  </c:pt>
                  <c:pt idx="17">
                    <c:v>Ryanhaven</c:v>
                  </c:pt>
                  <c:pt idx="18">
                    <c:v>Dickersonmouth</c:v>
                  </c:pt>
                  <c:pt idx="19">
                    <c:v>Annaborough</c:v>
                  </c:pt>
                  <c:pt idx="20">
                    <c:v>Ramirezburgh</c:v>
                  </c:pt>
                  <c:pt idx="21">
                    <c:v>Sextonberg</c:v>
                  </c:pt>
                  <c:pt idx="22">
                    <c:v>Beasleyshire</c:v>
                  </c:pt>
                  <c:pt idx="23">
                    <c:v>Lake Brittneyland</c:v>
                  </c:pt>
                  <c:pt idx="24">
                    <c:v>South John</c:v>
                  </c:pt>
                  <c:pt idx="25">
                    <c:v>New Devin</c:v>
                  </c:pt>
                  <c:pt idx="26">
                    <c:v>Lake Denise</c:v>
                  </c:pt>
                  <c:pt idx="27">
                    <c:v>South Susan</c:v>
                  </c:pt>
                  <c:pt idx="28">
                    <c:v>Johnsonchester</c:v>
                  </c:pt>
                  <c:pt idx="29">
                    <c:v>Martinberg</c:v>
                  </c:pt>
                </c:lvl>
                <c:lvl>
                  <c:pt idx="0">
                    <c:v>22-12-2023 10:35</c:v>
                  </c:pt>
                  <c:pt idx="1">
                    <c:v>05-05-2024 10:40</c:v>
                  </c:pt>
                  <c:pt idx="2">
                    <c:v>04-12-2023 05:22</c:v>
                  </c:pt>
                  <c:pt idx="3">
                    <c:v>02-01-2024 11:11</c:v>
                  </c:pt>
                  <c:pt idx="4">
                    <c:v>18-06-2024 01:01</c:v>
                  </c:pt>
                  <c:pt idx="5">
                    <c:v>06-03-2024 06:15</c:v>
                  </c:pt>
                  <c:pt idx="6">
                    <c:v>15-10-2023 13:30</c:v>
                  </c:pt>
                  <c:pt idx="7">
                    <c:v>16-05-2024 01:46</c:v>
                  </c:pt>
                  <c:pt idx="8">
                    <c:v>04-08-2024 17:13</c:v>
                  </c:pt>
                  <c:pt idx="9">
                    <c:v>18-12-2023 18:38</c:v>
                  </c:pt>
                  <c:pt idx="10">
                    <c:v>26-05-2024 02:56</c:v>
                  </c:pt>
                  <c:pt idx="11">
                    <c:v>26-09-2023 05:18</c:v>
                  </c:pt>
                  <c:pt idx="12">
                    <c:v>13-12-2023 23:53</c:v>
                  </c:pt>
                  <c:pt idx="13">
                    <c:v>02-12-2023 07:44</c:v>
                  </c:pt>
                  <c:pt idx="14">
                    <c:v>01-03-2024 17:49</c:v>
                  </c:pt>
                  <c:pt idx="15">
                    <c:v>12-08-2024 12:13</c:v>
                  </c:pt>
                  <c:pt idx="16">
                    <c:v>24-07-2024 08:49</c:v>
                  </c:pt>
                  <c:pt idx="17">
                    <c:v>14-06-2024 18:03</c:v>
                  </c:pt>
                  <c:pt idx="18">
                    <c:v>02-03-2024 05:18</c:v>
                  </c:pt>
                  <c:pt idx="19">
                    <c:v>19-05-2024 13:22</c:v>
                  </c:pt>
                  <c:pt idx="20">
                    <c:v>13-05-2024 10:04</c:v>
                  </c:pt>
                  <c:pt idx="21">
                    <c:v>05-04-2024 20:50</c:v>
                  </c:pt>
                  <c:pt idx="22">
                    <c:v>17-11-2023 05:30</c:v>
                  </c:pt>
                  <c:pt idx="23">
                    <c:v>05-08-2024 14:07</c:v>
                  </c:pt>
                  <c:pt idx="24">
                    <c:v>24-02-2024 01:14</c:v>
                  </c:pt>
                  <c:pt idx="25">
                    <c:v>04-03-2024 09:18</c:v>
                  </c:pt>
                  <c:pt idx="26">
                    <c:v>26-10-2023 07:12</c:v>
                  </c:pt>
                  <c:pt idx="27">
                    <c:v>04-08-2024 12:39</c:v>
                  </c:pt>
                  <c:pt idx="28">
                    <c:v>06-05-2024 01:39</c:v>
                  </c:pt>
                  <c:pt idx="29">
                    <c:v>23-10-2023 11:34</c:v>
                  </c:pt>
                </c:lvl>
                <c:lvl>
                  <c:pt idx="0">
                    <c:v>0.13</c:v>
                  </c:pt>
                  <c:pt idx="1">
                    <c:v>0.06</c:v>
                  </c:pt>
                  <c:pt idx="2">
                    <c:v>0.24</c:v>
                  </c:pt>
                  <c:pt idx="3">
                    <c:v>0.01</c:v>
                  </c:pt>
                  <c:pt idx="4">
                    <c:v>0.14</c:v>
                  </c:pt>
                  <c:pt idx="5">
                    <c:v>0.18</c:v>
                  </c:pt>
                  <c:pt idx="6">
                    <c:v>0.09</c:v>
                  </c:pt>
                  <c:pt idx="7">
                    <c:v>0.29</c:v>
                  </c:pt>
                  <c:pt idx="8">
                    <c:v>0.12</c:v>
                  </c:pt>
                  <c:pt idx="9">
                    <c:v>0.23</c:v>
                  </c:pt>
                  <c:pt idx="10">
                    <c:v>0.06</c:v>
                  </c:pt>
                  <c:pt idx="11">
                    <c:v>0.05</c:v>
                  </c:pt>
                  <c:pt idx="12">
                    <c:v>0.25</c:v>
                  </c:pt>
                  <c:pt idx="13">
                    <c:v>0.15</c:v>
                  </c:pt>
                  <c:pt idx="14">
                    <c:v>0.26</c:v>
                  </c:pt>
                  <c:pt idx="15">
                    <c:v>0.22</c:v>
                  </c:pt>
                  <c:pt idx="16">
                    <c:v>0.19</c:v>
                  </c:pt>
                  <c:pt idx="17">
                    <c:v>0.26</c:v>
                  </c:pt>
                  <c:pt idx="18">
                    <c:v>0.12</c:v>
                  </c:pt>
                  <c:pt idx="19">
                    <c:v>0.28</c:v>
                  </c:pt>
                  <c:pt idx="20">
                    <c:v>0.04</c:v>
                  </c:pt>
                  <c:pt idx="21">
                    <c:v>0.04</c:v>
                  </c:pt>
                  <c:pt idx="22">
                    <c:v>0.04</c:v>
                  </c:pt>
                  <c:pt idx="23">
                    <c:v>0.15</c:v>
                  </c:pt>
                  <c:pt idx="24">
                    <c:v>0.28</c:v>
                  </c:pt>
                  <c:pt idx="25">
                    <c:v>0.2</c:v>
                  </c:pt>
                  <c:pt idx="26">
                    <c:v>0.11</c:v>
                  </c:pt>
                  <c:pt idx="27">
                    <c:v>0.05</c:v>
                  </c:pt>
                  <c:pt idx="28">
                    <c:v>0.11</c:v>
                  </c:pt>
                  <c:pt idx="29">
                    <c:v>0.01</c:v>
                  </c:pt>
                </c:lvl>
                <c:lvl>
                  <c:pt idx="0">
                    <c:v>801.66</c:v>
                  </c:pt>
                  <c:pt idx="1">
                    <c:v>225.03</c:v>
                  </c:pt>
                  <c:pt idx="2">
                    <c:v>544.99</c:v>
                  </c:pt>
                  <c:pt idx="3">
                    <c:v>157.02</c:v>
                  </c:pt>
                  <c:pt idx="4">
                    <c:v>155.51</c:v>
                  </c:pt>
                  <c:pt idx="5">
                    <c:v>225.65</c:v>
                  </c:pt>
                  <c:pt idx="6">
                    <c:v>631.96</c:v>
                  </c:pt>
                  <c:pt idx="7">
                    <c:v>522.87</c:v>
                  </c:pt>
                  <c:pt idx="8">
                    <c:v>202.66</c:v>
                  </c:pt>
                  <c:pt idx="9">
                    <c:v>401.52</c:v>
                  </c:pt>
                  <c:pt idx="10">
                    <c:v>346.31</c:v>
                  </c:pt>
                  <c:pt idx="11">
                    <c:v>434.15</c:v>
                  </c:pt>
                  <c:pt idx="12">
                    <c:v>189.87</c:v>
                  </c:pt>
                  <c:pt idx="13">
                    <c:v>559.1</c:v>
                  </c:pt>
                  <c:pt idx="14">
                    <c:v>29.01</c:v>
                  </c:pt>
                  <c:pt idx="15">
                    <c:v>541.5</c:v>
                  </c:pt>
                  <c:pt idx="16">
                    <c:v>218.68</c:v>
                  </c:pt>
                  <c:pt idx="17">
                    <c:v>439.07</c:v>
                  </c:pt>
                  <c:pt idx="18">
                    <c:v>849.82</c:v>
                  </c:pt>
                  <c:pt idx="19">
                    <c:v>886.69</c:v>
                  </c:pt>
                  <c:pt idx="20">
                    <c:v>137.79</c:v>
                  </c:pt>
                  <c:pt idx="21">
                    <c:v>6.58</c:v>
                  </c:pt>
                  <c:pt idx="22">
                    <c:v>888.2</c:v>
                  </c:pt>
                  <c:pt idx="23">
                    <c:v>109.35</c:v>
                  </c:pt>
                  <c:pt idx="24">
                    <c:v>144.08</c:v>
                  </c:pt>
                  <c:pt idx="25">
                    <c:v>576.59</c:v>
                  </c:pt>
                  <c:pt idx="26">
                    <c:v>954.41</c:v>
                  </c:pt>
                  <c:pt idx="27">
                    <c:v>513.82</c:v>
                  </c:pt>
                  <c:pt idx="28">
                    <c:v>767.89</c:v>
                  </c:pt>
                  <c:pt idx="29">
                    <c:v>653.79</c:v>
                  </c:pt>
                </c:lvl>
                <c:lvl>
                  <c:pt idx="0">
                    <c:v>Cash on Delivery</c:v>
                  </c:pt>
                  <c:pt idx="1">
                    <c:v>Debit Card</c:v>
                  </c:pt>
                  <c:pt idx="2">
                    <c:v>Debit Card</c:v>
                  </c:pt>
                  <c:pt idx="3">
                    <c:v>Bank Transfer</c:v>
                  </c:pt>
                  <c:pt idx="4">
                    <c:v>Debit Card</c:v>
                  </c:pt>
                  <c:pt idx="5">
                    <c:v>Bank Transfer</c:v>
                  </c:pt>
                  <c:pt idx="6">
                    <c:v>Credit Card</c:v>
                  </c:pt>
                  <c:pt idx="7">
                    <c:v>Cash on Delivery</c:v>
                  </c:pt>
                  <c:pt idx="8">
                    <c:v>Cash on Delivery</c:v>
                  </c:pt>
                  <c:pt idx="9">
                    <c:v>Cash on Delivery</c:v>
                  </c:pt>
                  <c:pt idx="10">
                    <c:v>Cash on Delivery</c:v>
                  </c:pt>
                  <c:pt idx="11">
                    <c:v>Bank Transfer</c:v>
                  </c:pt>
                  <c:pt idx="12">
                    <c:v>Credit Card</c:v>
                  </c:pt>
                  <c:pt idx="13">
                    <c:v>Debit Card</c:v>
                  </c:pt>
                  <c:pt idx="14">
                    <c:v>Cash on Delivery</c:v>
                  </c:pt>
                  <c:pt idx="15">
                    <c:v>Bank Transfer</c:v>
                  </c:pt>
                  <c:pt idx="16">
                    <c:v>Credit Card</c:v>
                  </c:pt>
                  <c:pt idx="17">
                    <c:v>PayPal</c:v>
                  </c:pt>
                  <c:pt idx="18">
                    <c:v>Cash on Delivery</c:v>
                  </c:pt>
                  <c:pt idx="19">
                    <c:v>Debit Card</c:v>
                  </c:pt>
                  <c:pt idx="20">
                    <c:v>Credit Card</c:v>
                  </c:pt>
                  <c:pt idx="21">
                    <c:v>PayPal</c:v>
                  </c:pt>
                  <c:pt idx="22">
                    <c:v>Cash on Delivery</c:v>
                  </c:pt>
                  <c:pt idx="23">
                    <c:v>Debit Card</c:v>
                  </c:pt>
                  <c:pt idx="24">
                    <c:v>Cash on Delivery</c:v>
                  </c:pt>
                  <c:pt idx="25">
                    <c:v>Bank Transfer</c:v>
                  </c:pt>
                  <c:pt idx="26">
                    <c:v>PayPal</c:v>
                  </c:pt>
                  <c:pt idx="27">
                    <c:v>Credit Card</c:v>
                  </c:pt>
                  <c:pt idx="28">
                    <c:v>Credit Card</c:v>
                  </c:pt>
                  <c:pt idx="29">
                    <c:v>Cash on Delivery</c:v>
                  </c:pt>
                </c:lvl>
                <c:lvl>
                  <c:pt idx="0">
                    <c:v>Clothing</c:v>
                  </c:pt>
                  <c:pt idx="1">
                    <c:v>Beauty</c:v>
                  </c:pt>
                  <c:pt idx="2">
                    <c:v>Toys</c:v>
                  </c:pt>
                  <c:pt idx="3">
                    <c:v>Beauty</c:v>
                  </c:pt>
                  <c:pt idx="4">
                    <c:v>Electronics</c:v>
                  </c:pt>
                  <c:pt idx="5">
                    <c:v>Books</c:v>
                  </c:pt>
                  <c:pt idx="6">
                    <c:v>Beauty</c:v>
                  </c:pt>
                  <c:pt idx="7">
                    <c:v>Sports</c:v>
                  </c:pt>
                  <c:pt idx="8">
                    <c:v>Books</c:v>
                  </c:pt>
                  <c:pt idx="9">
                    <c:v>Toys</c:v>
                  </c:pt>
                  <c:pt idx="10">
                    <c:v>Clothing</c:v>
                  </c:pt>
                  <c:pt idx="11">
                    <c:v>Sports</c:v>
                  </c:pt>
                  <c:pt idx="12">
                    <c:v>Electronics</c:v>
                  </c:pt>
                  <c:pt idx="13">
                    <c:v>Home &amp; Kitchen</c:v>
                  </c:pt>
                  <c:pt idx="14">
                    <c:v>Toys</c:v>
                  </c:pt>
                  <c:pt idx="15">
                    <c:v>Toys</c:v>
                  </c:pt>
                  <c:pt idx="16">
                    <c:v>Beauty</c:v>
                  </c:pt>
                  <c:pt idx="17">
                    <c:v>Clothing</c:v>
                  </c:pt>
                  <c:pt idx="18">
                    <c:v>Books</c:v>
                  </c:pt>
                  <c:pt idx="19">
                    <c:v>Electronics</c:v>
                  </c:pt>
                  <c:pt idx="20">
                    <c:v>Toys</c:v>
                  </c:pt>
                  <c:pt idx="21">
                    <c:v>Electronics</c:v>
                  </c:pt>
                  <c:pt idx="22">
                    <c:v>Toys</c:v>
                  </c:pt>
                  <c:pt idx="23">
                    <c:v>Toys</c:v>
                  </c:pt>
                  <c:pt idx="24">
                    <c:v>Electronics</c:v>
                  </c:pt>
                  <c:pt idx="25">
                    <c:v>Sports</c:v>
                  </c:pt>
                  <c:pt idx="26">
                    <c:v>Electronics</c:v>
                  </c:pt>
                  <c:pt idx="27">
                    <c:v>Home &amp; Kitchen</c:v>
                  </c:pt>
                  <c:pt idx="28">
                    <c:v>Sports</c:v>
                  </c:pt>
                  <c:pt idx="29">
                    <c:v>Beauty</c:v>
                  </c:pt>
                </c:lvl>
                <c:lvl>
                  <c:pt idx="0">
                    <c:v>295</c:v>
                  </c:pt>
                  <c:pt idx="1">
                    <c:v>546</c:v>
                  </c:pt>
                  <c:pt idx="2">
                    <c:v>430</c:v>
                  </c:pt>
                  <c:pt idx="3">
                    <c:v>807</c:v>
                  </c:pt>
                  <c:pt idx="4">
                    <c:v>319</c:v>
                  </c:pt>
                  <c:pt idx="5">
                    <c:v>282</c:v>
                  </c:pt>
                  <c:pt idx="6">
                    <c:v>276</c:v>
                  </c:pt>
                  <c:pt idx="7">
                    <c:v>574</c:v>
                  </c:pt>
                  <c:pt idx="8">
                    <c:v>948</c:v>
                  </c:pt>
                  <c:pt idx="9">
                    <c:v>459</c:v>
                  </c:pt>
                  <c:pt idx="10">
                    <c:v>745</c:v>
                  </c:pt>
                  <c:pt idx="11">
                    <c:v>564</c:v>
                  </c:pt>
                  <c:pt idx="12">
                    <c:v>334</c:v>
                  </c:pt>
                  <c:pt idx="13">
                    <c:v>536</c:v>
                  </c:pt>
                  <c:pt idx="14">
                    <c:v>239</c:v>
                  </c:pt>
                  <c:pt idx="15">
                    <c:v>587</c:v>
                  </c:pt>
                  <c:pt idx="16">
                    <c:v>868</c:v>
                  </c:pt>
                  <c:pt idx="17">
                    <c:v>384</c:v>
                  </c:pt>
                  <c:pt idx="18">
                    <c:v>701</c:v>
                  </c:pt>
                  <c:pt idx="19">
                    <c:v>427</c:v>
                  </c:pt>
                  <c:pt idx="20">
                    <c:v>150</c:v>
                  </c:pt>
                  <c:pt idx="21">
                    <c:v>797</c:v>
                  </c:pt>
                  <c:pt idx="22">
                    <c:v>577</c:v>
                  </c:pt>
                  <c:pt idx="23">
                    <c:v>385</c:v>
                  </c:pt>
                  <c:pt idx="24">
                    <c:v>419</c:v>
                  </c:pt>
                  <c:pt idx="25">
                    <c:v>733</c:v>
                  </c:pt>
                  <c:pt idx="26">
                    <c:v>278</c:v>
                  </c:pt>
                  <c:pt idx="27">
                    <c:v>231</c:v>
                  </c:pt>
                  <c:pt idx="28">
                    <c:v>699</c:v>
                  </c:pt>
                  <c:pt idx="29">
                    <c:v>829</c:v>
                  </c:pt>
                </c:lvl>
                <c:lvl>
                  <c:pt idx="0">
                    <c:v>8270</c:v>
                  </c:pt>
                  <c:pt idx="1">
                    <c:v>1860</c:v>
                  </c:pt>
                  <c:pt idx="2">
                    <c:v>6390</c:v>
                  </c:pt>
                  <c:pt idx="3">
                    <c:v>6191</c:v>
                  </c:pt>
                  <c:pt idx="4">
                    <c:v>6734</c:v>
                  </c:pt>
                  <c:pt idx="5">
                    <c:v>7265</c:v>
                  </c:pt>
                  <c:pt idx="6">
                    <c:v>1466</c:v>
                  </c:pt>
                  <c:pt idx="7">
                    <c:v>5426</c:v>
                  </c:pt>
                  <c:pt idx="8">
                    <c:v>6578</c:v>
                  </c:pt>
                  <c:pt idx="9">
                    <c:v>9322</c:v>
                  </c:pt>
                  <c:pt idx="10">
                    <c:v>2685</c:v>
                  </c:pt>
                  <c:pt idx="11">
                    <c:v>1769</c:v>
                  </c:pt>
                  <c:pt idx="12">
                    <c:v>7949</c:v>
                  </c:pt>
                  <c:pt idx="13">
                    <c:v>3433</c:v>
                  </c:pt>
                  <c:pt idx="14">
                    <c:v>6311</c:v>
                  </c:pt>
                  <c:pt idx="15">
                    <c:v>6051</c:v>
                  </c:pt>
                  <c:pt idx="16">
                    <c:v>7420</c:v>
                  </c:pt>
                  <c:pt idx="17">
                    <c:v>2184</c:v>
                  </c:pt>
                  <c:pt idx="18">
                    <c:v>5555</c:v>
                  </c:pt>
                  <c:pt idx="19">
                    <c:v>4385</c:v>
                  </c:pt>
                  <c:pt idx="20">
                    <c:v>7396</c:v>
                  </c:pt>
                  <c:pt idx="21">
                    <c:v>9666</c:v>
                  </c:pt>
                  <c:pt idx="22">
                    <c:v>3558</c:v>
                  </c:pt>
                  <c:pt idx="23">
                    <c:v>8849</c:v>
                  </c:pt>
                  <c:pt idx="24">
                    <c:v>3047</c:v>
                  </c:pt>
                  <c:pt idx="25">
                    <c:v>3747</c:v>
                  </c:pt>
                  <c:pt idx="26">
                    <c:v>1189</c:v>
                  </c:pt>
                  <c:pt idx="27">
                    <c:v>3734</c:v>
                  </c:pt>
                  <c:pt idx="28">
                    <c:v>4005</c:v>
                  </c:pt>
                  <c:pt idx="29">
                    <c:v>5658</c:v>
                  </c:pt>
                </c:lvl>
                <c:lvl>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lvl>
              </c:multiLvlStrCache>
            </c:multiLvlStrRef>
          </c:cat>
          <c:val>
            <c:numRef>
              <c:f>ecommerce_sales_data!$O$2:$O$31</c:f>
              <c:numCache>
                <c:formatCode>General</c:formatCode>
                <c:ptCount val="30"/>
                <c:pt idx="0">
                  <c:v>1</c:v>
                </c:pt>
                <c:pt idx="1">
                  <c:v>1</c:v>
                </c:pt>
                <c:pt idx="2">
                  <c:v>2</c:v>
                </c:pt>
                <c:pt idx="3">
                  <c:v>2</c:v>
                </c:pt>
                <c:pt idx="4">
                  <c:v>2</c:v>
                </c:pt>
                <c:pt idx="5">
                  <c:v>3</c:v>
                </c:pt>
                <c:pt idx="6">
                  <c:v>3</c:v>
                </c:pt>
                <c:pt idx="7">
                  <c:v>1</c:v>
                </c:pt>
                <c:pt idx="8">
                  <c:v>4</c:v>
                </c:pt>
                <c:pt idx="9">
                  <c:v>3</c:v>
                </c:pt>
                <c:pt idx="10">
                  <c:v>3</c:v>
                </c:pt>
                <c:pt idx="11">
                  <c:v>1</c:v>
                </c:pt>
                <c:pt idx="12">
                  <c:v>3</c:v>
                </c:pt>
                <c:pt idx="13">
                  <c:v>1</c:v>
                </c:pt>
                <c:pt idx="14">
                  <c:v>3</c:v>
                </c:pt>
                <c:pt idx="15">
                  <c:v>2</c:v>
                </c:pt>
                <c:pt idx="16">
                  <c:v>4</c:v>
                </c:pt>
                <c:pt idx="17">
                  <c:v>2</c:v>
                </c:pt>
                <c:pt idx="18">
                  <c:v>4</c:v>
                </c:pt>
                <c:pt idx="19">
                  <c:v>1</c:v>
                </c:pt>
                <c:pt idx="20">
                  <c:v>2</c:v>
                </c:pt>
                <c:pt idx="21">
                  <c:v>4</c:v>
                </c:pt>
                <c:pt idx="22">
                  <c:v>3</c:v>
                </c:pt>
                <c:pt idx="23">
                  <c:v>4</c:v>
                </c:pt>
                <c:pt idx="24">
                  <c:v>4</c:v>
                </c:pt>
                <c:pt idx="25">
                  <c:v>4</c:v>
                </c:pt>
                <c:pt idx="26">
                  <c:v>3</c:v>
                </c:pt>
                <c:pt idx="27">
                  <c:v>3</c:v>
                </c:pt>
                <c:pt idx="28">
                  <c:v>1</c:v>
                </c:pt>
                <c:pt idx="29">
                  <c:v>4</c:v>
                </c:pt>
              </c:numCache>
            </c:numRef>
          </c:val>
          <c:extLst>
            <c:ext xmlns:c16="http://schemas.microsoft.com/office/drawing/2014/chart" uri="{C3380CC4-5D6E-409C-BE32-E72D297353CC}">
              <c16:uniqueId val="{00000001-9604-43A2-9E2B-9E78B443D847}"/>
            </c:ext>
          </c:extLst>
        </c:ser>
        <c:ser>
          <c:idx val="2"/>
          <c:order val="2"/>
          <c:tx>
            <c:strRef>
              <c:f>ecommerce_sales_data!$P$1</c:f>
              <c:strCache>
                <c:ptCount val="1"/>
                <c:pt idx="0">
                  <c:v>encode</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dPt>
            <c:idx val="4"/>
            <c:bubble3D val="0"/>
            <c:spPr>
              <a:solidFill>
                <a:schemeClr val="accent5"/>
              </a:solidFill>
              <a:ln w="25400">
                <a:solidFill>
                  <a:schemeClr val="lt1"/>
                </a:solidFill>
              </a:ln>
              <a:effectLst/>
              <a:sp3d contourW="25400">
                <a:contourClr>
                  <a:schemeClr val="lt1"/>
                </a:contourClr>
              </a:sp3d>
            </c:spPr>
          </c:dPt>
          <c:dPt>
            <c:idx val="5"/>
            <c:bubble3D val="0"/>
            <c:spPr>
              <a:solidFill>
                <a:schemeClr val="accent6"/>
              </a:solidFill>
              <a:ln w="25400">
                <a:solidFill>
                  <a:schemeClr val="lt1"/>
                </a:solidFill>
              </a:ln>
              <a:effectLst/>
              <a:sp3d contourW="25400">
                <a:contourClr>
                  <a:schemeClr val="lt1"/>
                </a:contourClr>
              </a:sp3d>
            </c:spPr>
          </c:dPt>
          <c:dPt>
            <c:idx val="6"/>
            <c:bubble3D val="0"/>
            <c:spPr>
              <a:solidFill>
                <a:schemeClr val="accent1">
                  <a:lumMod val="60000"/>
                </a:schemeClr>
              </a:solidFill>
              <a:ln w="25400">
                <a:solidFill>
                  <a:schemeClr val="lt1"/>
                </a:solidFill>
              </a:ln>
              <a:effectLst/>
              <a:sp3d contourW="25400">
                <a:contourClr>
                  <a:schemeClr val="lt1"/>
                </a:contourClr>
              </a:sp3d>
            </c:spPr>
          </c:dPt>
          <c:dPt>
            <c:idx val="7"/>
            <c:bubble3D val="0"/>
            <c:spPr>
              <a:solidFill>
                <a:schemeClr val="accent2">
                  <a:lumMod val="60000"/>
                </a:schemeClr>
              </a:solidFill>
              <a:ln w="25400">
                <a:solidFill>
                  <a:schemeClr val="lt1"/>
                </a:solidFill>
              </a:ln>
              <a:effectLst/>
              <a:sp3d contourW="25400">
                <a:contourClr>
                  <a:schemeClr val="lt1"/>
                </a:contourClr>
              </a:sp3d>
            </c:spPr>
          </c:dPt>
          <c:dPt>
            <c:idx val="8"/>
            <c:bubble3D val="0"/>
            <c:spPr>
              <a:solidFill>
                <a:schemeClr val="accent3">
                  <a:lumMod val="60000"/>
                </a:schemeClr>
              </a:solidFill>
              <a:ln w="25400">
                <a:solidFill>
                  <a:schemeClr val="lt1"/>
                </a:solidFill>
              </a:ln>
              <a:effectLst/>
              <a:sp3d contourW="25400">
                <a:contourClr>
                  <a:schemeClr val="lt1"/>
                </a:contourClr>
              </a:sp3d>
            </c:spPr>
          </c:dPt>
          <c:dPt>
            <c:idx val="9"/>
            <c:bubble3D val="0"/>
            <c:spPr>
              <a:solidFill>
                <a:schemeClr val="accent4">
                  <a:lumMod val="60000"/>
                </a:schemeClr>
              </a:solidFill>
              <a:ln w="25400">
                <a:solidFill>
                  <a:schemeClr val="lt1"/>
                </a:solidFill>
              </a:ln>
              <a:effectLst/>
              <a:sp3d contourW="25400">
                <a:contourClr>
                  <a:schemeClr val="lt1"/>
                </a:contourClr>
              </a:sp3d>
            </c:spPr>
          </c:dPt>
          <c:dPt>
            <c:idx val="10"/>
            <c:bubble3D val="0"/>
            <c:spPr>
              <a:solidFill>
                <a:schemeClr val="accent5">
                  <a:lumMod val="60000"/>
                </a:schemeClr>
              </a:solidFill>
              <a:ln w="25400">
                <a:solidFill>
                  <a:schemeClr val="lt1"/>
                </a:solidFill>
              </a:ln>
              <a:effectLst/>
              <a:sp3d contourW="25400">
                <a:contourClr>
                  <a:schemeClr val="lt1"/>
                </a:contourClr>
              </a:sp3d>
            </c:spPr>
          </c:dPt>
          <c:dPt>
            <c:idx val="11"/>
            <c:bubble3D val="0"/>
            <c:spPr>
              <a:solidFill>
                <a:schemeClr val="accent6">
                  <a:lumMod val="60000"/>
                </a:schemeClr>
              </a:solidFill>
              <a:ln w="25400">
                <a:solidFill>
                  <a:schemeClr val="lt1"/>
                </a:solidFill>
              </a:ln>
              <a:effectLst/>
              <a:sp3d contourW="25400">
                <a:contourClr>
                  <a:schemeClr val="lt1"/>
                </a:contourClr>
              </a:sp3d>
            </c:spPr>
          </c:dPt>
          <c:dPt>
            <c:idx val="12"/>
            <c:bubble3D val="0"/>
            <c:spPr>
              <a:solidFill>
                <a:schemeClr val="accent1">
                  <a:lumMod val="80000"/>
                  <a:lumOff val="20000"/>
                </a:schemeClr>
              </a:solidFill>
              <a:ln w="25400">
                <a:solidFill>
                  <a:schemeClr val="lt1"/>
                </a:solidFill>
              </a:ln>
              <a:effectLst/>
              <a:sp3d contourW="25400">
                <a:contourClr>
                  <a:schemeClr val="lt1"/>
                </a:contourClr>
              </a:sp3d>
            </c:spPr>
          </c:dPt>
          <c:dPt>
            <c:idx val="13"/>
            <c:bubble3D val="0"/>
            <c:spPr>
              <a:solidFill>
                <a:schemeClr val="accent2">
                  <a:lumMod val="80000"/>
                  <a:lumOff val="20000"/>
                </a:schemeClr>
              </a:solidFill>
              <a:ln w="25400">
                <a:solidFill>
                  <a:schemeClr val="lt1"/>
                </a:solidFill>
              </a:ln>
              <a:effectLst/>
              <a:sp3d contourW="25400">
                <a:contourClr>
                  <a:schemeClr val="lt1"/>
                </a:contourClr>
              </a:sp3d>
            </c:spPr>
          </c:dPt>
          <c:dPt>
            <c:idx val="14"/>
            <c:bubble3D val="0"/>
            <c:spPr>
              <a:solidFill>
                <a:schemeClr val="accent3">
                  <a:lumMod val="80000"/>
                  <a:lumOff val="20000"/>
                </a:schemeClr>
              </a:solidFill>
              <a:ln w="25400">
                <a:solidFill>
                  <a:schemeClr val="lt1"/>
                </a:solidFill>
              </a:ln>
              <a:effectLst/>
              <a:sp3d contourW="25400">
                <a:contourClr>
                  <a:schemeClr val="lt1"/>
                </a:contourClr>
              </a:sp3d>
            </c:spPr>
          </c:dPt>
          <c:dPt>
            <c:idx val="15"/>
            <c:bubble3D val="0"/>
            <c:spPr>
              <a:solidFill>
                <a:schemeClr val="accent4">
                  <a:lumMod val="80000"/>
                  <a:lumOff val="20000"/>
                </a:schemeClr>
              </a:solidFill>
              <a:ln w="25400">
                <a:solidFill>
                  <a:schemeClr val="lt1"/>
                </a:solidFill>
              </a:ln>
              <a:effectLst/>
              <a:sp3d contourW="25400">
                <a:contourClr>
                  <a:schemeClr val="lt1"/>
                </a:contourClr>
              </a:sp3d>
            </c:spPr>
          </c:dPt>
          <c:dPt>
            <c:idx val="16"/>
            <c:bubble3D val="0"/>
            <c:spPr>
              <a:solidFill>
                <a:schemeClr val="accent5">
                  <a:lumMod val="80000"/>
                  <a:lumOff val="20000"/>
                </a:schemeClr>
              </a:solidFill>
              <a:ln w="25400">
                <a:solidFill>
                  <a:schemeClr val="lt1"/>
                </a:solidFill>
              </a:ln>
              <a:effectLst/>
              <a:sp3d contourW="25400">
                <a:contourClr>
                  <a:schemeClr val="lt1"/>
                </a:contourClr>
              </a:sp3d>
            </c:spPr>
          </c:dPt>
          <c:dPt>
            <c:idx val="17"/>
            <c:bubble3D val="0"/>
            <c:spPr>
              <a:solidFill>
                <a:schemeClr val="accent6">
                  <a:lumMod val="80000"/>
                  <a:lumOff val="20000"/>
                </a:schemeClr>
              </a:solidFill>
              <a:ln w="25400">
                <a:solidFill>
                  <a:schemeClr val="lt1"/>
                </a:solidFill>
              </a:ln>
              <a:effectLst/>
              <a:sp3d contourW="25400">
                <a:contourClr>
                  <a:schemeClr val="lt1"/>
                </a:contourClr>
              </a:sp3d>
            </c:spPr>
          </c:dPt>
          <c:dPt>
            <c:idx val="18"/>
            <c:bubble3D val="0"/>
            <c:spPr>
              <a:solidFill>
                <a:schemeClr val="accent1">
                  <a:lumMod val="80000"/>
                </a:schemeClr>
              </a:solidFill>
              <a:ln w="25400">
                <a:solidFill>
                  <a:schemeClr val="lt1"/>
                </a:solidFill>
              </a:ln>
              <a:effectLst/>
              <a:sp3d contourW="25400">
                <a:contourClr>
                  <a:schemeClr val="lt1"/>
                </a:contourClr>
              </a:sp3d>
            </c:spPr>
          </c:dPt>
          <c:dPt>
            <c:idx val="19"/>
            <c:bubble3D val="0"/>
            <c:spPr>
              <a:solidFill>
                <a:schemeClr val="accent2">
                  <a:lumMod val="80000"/>
                </a:schemeClr>
              </a:solidFill>
              <a:ln w="25400">
                <a:solidFill>
                  <a:schemeClr val="lt1"/>
                </a:solidFill>
              </a:ln>
              <a:effectLst/>
              <a:sp3d contourW="25400">
                <a:contourClr>
                  <a:schemeClr val="lt1"/>
                </a:contourClr>
              </a:sp3d>
            </c:spPr>
          </c:dPt>
          <c:dPt>
            <c:idx val="20"/>
            <c:bubble3D val="0"/>
            <c:spPr>
              <a:solidFill>
                <a:schemeClr val="accent3">
                  <a:lumMod val="80000"/>
                </a:schemeClr>
              </a:solidFill>
              <a:ln w="25400">
                <a:solidFill>
                  <a:schemeClr val="lt1"/>
                </a:solidFill>
              </a:ln>
              <a:effectLst/>
              <a:sp3d contourW="25400">
                <a:contourClr>
                  <a:schemeClr val="lt1"/>
                </a:contourClr>
              </a:sp3d>
            </c:spPr>
          </c:dPt>
          <c:dPt>
            <c:idx val="21"/>
            <c:bubble3D val="0"/>
            <c:spPr>
              <a:solidFill>
                <a:schemeClr val="accent4">
                  <a:lumMod val="80000"/>
                </a:schemeClr>
              </a:solidFill>
              <a:ln w="25400">
                <a:solidFill>
                  <a:schemeClr val="lt1"/>
                </a:solidFill>
              </a:ln>
              <a:effectLst/>
              <a:sp3d contourW="25400">
                <a:contourClr>
                  <a:schemeClr val="lt1"/>
                </a:contourClr>
              </a:sp3d>
            </c:spPr>
          </c:dPt>
          <c:dPt>
            <c:idx val="22"/>
            <c:bubble3D val="0"/>
            <c:spPr>
              <a:solidFill>
                <a:schemeClr val="accent5">
                  <a:lumMod val="80000"/>
                </a:schemeClr>
              </a:solidFill>
              <a:ln w="25400">
                <a:solidFill>
                  <a:schemeClr val="lt1"/>
                </a:solidFill>
              </a:ln>
              <a:effectLst/>
              <a:sp3d contourW="25400">
                <a:contourClr>
                  <a:schemeClr val="lt1"/>
                </a:contourClr>
              </a:sp3d>
            </c:spPr>
          </c:dPt>
          <c:dPt>
            <c:idx val="23"/>
            <c:bubble3D val="0"/>
            <c:spPr>
              <a:solidFill>
                <a:schemeClr val="accent6">
                  <a:lumMod val="80000"/>
                </a:schemeClr>
              </a:solidFill>
              <a:ln w="25400">
                <a:solidFill>
                  <a:schemeClr val="lt1"/>
                </a:solidFill>
              </a:ln>
              <a:effectLst/>
              <a:sp3d contourW="25400">
                <a:contourClr>
                  <a:schemeClr val="lt1"/>
                </a:contourClr>
              </a:sp3d>
            </c:spPr>
          </c:dPt>
          <c:dPt>
            <c:idx val="24"/>
            <c:bubble3D val="0"/>
            <c:spPr>
              <a:solidFill>
                <a:schemeClr val="accent1">
                  <a:lumMod val="60000"/>
                  <a:lumOff val="40000"/>
                </a:schemeClr>
              </a:solidFill>
              <a:ln w="25400">
                <a:solidFill>
                  <a:schemeClr val="lt1"/>
                </a:solidFill>
              </a:ln>
              <a:effectLst/>
              <a:sp3d contourW="25400">
                <a:contourClr>
                  <a:schemeClr val="lt1"/>
                </a:contourClr>
              </a:sp3d>
            </c:spPr>
          </c:dPt>
          <c:dPt>
            <c:idx val="25"/>
            <c:bubble3D val="0"/>
            <c:spPr>
              <a:solidFill>
                <a:schemeClr val="accent2">
                  <a:lumMod val="60000"/>
                  <a:lumOff val="40000"/>
                </a:schemeClr>
              </a:solidFill>
              <a:ln w="25400">
                <a:solidFill>
                  <a:schemeClr val="lt1"/>
                </a:solidFill>
              </a:ln>
              <a:effectLst/>
              <a:sp3d contourW="25400">
                <a:contourClr>
                  <a:schemeClr val="lt1"/>
                </a:contourClr>
              </a:sp3d>
            </c:spPr>
          </c:dPt>
          <c:dPt>
            <c:idx val="26"/>
            <c:bubble3D val="0"/>
            <c:spPr>
              <a:solidFill>
                <a:schemeClr val="accent3">
                  <a:lumMod val="60000"/>
                  <a:lumOff val="40000"/>
                </a:schemeClr>
              </a:solidFill>
              <a:ln w="25400">
                <a:solidFill>
                  <a:schemeClr val="lt1"/>
                </a:solidFill>
              </a:ln>
              <a:effectLst/>
              <a:sp3d contourW="25400">
                <a:contourClr>
                  <a:schemeClr val="lt1"/>
                </a:contourClr>
              </a:sp3d>
            </c:spPr>
          </c:dPt>
          <c:dPt>
            <c:idx val="27"/>
            <c:bubble3D val="0"/>
            <c:spPr>
              <a:solidFill>
                <a:schemeClr val="accent4">
                  <a:lumMod val="60000"/>
                  <a:lumOff val="40000"/>
                </a:schemeClr>
              </a:solidFill>
              <a:ln w="25400">
                <a:solidFill>
                  <a:schemeClr val="lt1"/>
                </a:solidFill>
              </a:ln>
              <a:effectLst/>
              <a:sp3d contourW="25400">
                <a:contourClr>
                  <a:schemeClr val="lt1"/>
                </a:contourClr>
              </a:sp3d>
            </c:spPr>
          </c:dPt>
          <c:dPt>
            <c:idx val="28"/>
            <c:bubble3D val="0"/>
            <c:spPr>
              <a:solidFill>
                <a:schemeClr val="accent5">
                  <a:lumMod val="60000"/>
                  <a:lumOff val="40000"/>
                </a:schemeClr>
              </a:solidFill>
              <a:ln w="25400">
                <a:solidFill>
                  <a:schemeClr val="lt1"/>
                </a:solidFill>
              </a:ln>
              <a:effectLst/>
              <a:sp3d contourW="25400">
                <a:contourClr>
                  <a:schemeClr val="lt1"/>
                </a:contourClr>
              </a:sp3d>
            </c:spPr>
          </c:dPt>
          <c:dPt>
            <c:idx val="29"/>
            <c:bubble3D val="0"/>
            <c:spPr>
              <a:solidFill>
                <a:schemeClr val="accent6">
                  <a:lumMod val="60000"/>
                  <a:lumOff val="40000"/>
                </a:schemeClr>
              </a:solidFill>
              <a:ln w="25400">
                <a:solidFill>
                  <a:schemeClr val="lt1"/>
                </a:solidFill>
              </a:ln>
              <a:effectLst/>
              <a:sp3d contourW="25400">
                <a:contourClr>
                  <a:schemeClr val="lt1"/>
                </a:contourClr>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multiLvlStrRef>
              <c:f>ecommerce_sales_data!$A$2:$M$31</c:f>
              <c:multiLvlStrCache>
                <c:ptCount val="30"/>
                <c:lvl>
                  <c:pt idx="0">
                    <c:v>Medium</c:v>
                  </c:pt>
                  <c:pt idx="1">
                    <c:v>High</c:v>
                  </c:pt>
                  <c:pt idx="2">
                    <c:v>High</c:v>
                  </c:pt>
                  <c:pt idx="3">
                    <c:v>Low</c:v>
                  </c:pt>
                  <c:pt idx="4">
                    <c:v>High</c:v>
                  </c:pt>
                  <c:pt idx="5">
                    <c:v>High</c:v>
                  </c:pt>
                  <c:pt idx="6">
                    <c:v>Low</c:v>
                  </c:pt>
                  <c:pt idx="7">
                    <c:v>High</c:v>
                  </c:pt>
                  <c:pt idx="8">
                    <c:v>Low</c:v>
                  </c:pt>
                  <c:pt idx="9">
                    <c:v>Low</c:v>
                  </c:pt>
                  <c:pt idx="10">
                    <c:v>Low</c:v>
                  </c:pt>
                  <c:pt idx="11">
                    <c:v>High</c:v>
                  </c:pt>
                  <c:pt idx="12">
                    <c:v>Low</c:v>
                  </c:pt>
                  <c:pt idx="13">
                    <c:v>Low</c:v>
                  </c:pt>
                  <c:pt idx="14">
                    <c:v>High</c:v>
                  </c:pt>
                  <c:pt idx="15">
                    <c:v>Low</c:v>
                  </c:pt>
                  <c:pt idx="16">
                    <c:v>Medium</c:v>
                  </c:pt>
                  <c:pt idx="17">
                    <c:v>Medium</c:v>
                  </c:pt>
                  <c:pt idx="18">
                    <c:v>Low</c:v>
                  </c:pt>
                  <c:pt idx="19">
                    <c:v>Low</c:v>
                  </c:pt>
                  <c:pt idx="20">
                    <c:v>Medium</c:v>
                  </c:pt>
                  <c:pt idx="21">
                    <c:v>Medium</c:v>
                  </c:pt>
                  <c:pt idx="22">
                    <c:v>Medium</c:v>
                  </c:pt>
                  <c:pt idx="23">
                    <c:v>High</c:v>
                  </c:pt>
                  <c:pt idx="24">
                    <c:v>High</c:v>
                  </c:pt>
                  <c:pt idx="25">
                    <c:v>Low</c:v>
                  </c:pt>
                  <c:pt idx="26">
                    <c:v>Low</c:v>
                  </c:pt>
                  <c:pt idx="27">
                    <c:v>Low</c:v>
                  </c:pt>
                  <c:pt idx="28">
                    <c:v>High</c:v>
                  </c:pt>
                  <c:pt idx="29">
                    <c:v>Low</c:v>
                  </c:pt>
                </c:lvl>
                <c:lvl>
                  <c:pt idx="0">
                    <c:v>Female</c:v>
                  </c:pt>
                  <c:pt idx="1">
                    <c:v>Other</c:v>
                  </c:pt>
                  <c:pt idx="2">
                    <c:v>Female</c:v>
                  </c:pt>
                  <c:pt idx="3">
                    <c:v>Female</c:v>
                  </c:pt>
                  <c:pt idx="4">
                    <c:v>Other</c:v>
                  </c:pt>
                  <c:pt idx="5">
                    <c:v>Male</c:v>
                  </c:pt>
                  <c:pt idx="6">
                    <c:v>Male</c:v>
                  </c:pt>
                  <c:pt idx="7">
                    <c:v>Female</c:v>
                  </c:pt>
                  <c:pt idx="8">
                    <c:v>Male</c:v>
                  </c:pt>
                  <c:pt idx="9">
                    <c:v>Female</c:v>
                  </c:pt>
                  <c:pt idx="10">
                    <c:v>Other</c:v>
                  </c:pt>
                  <c:pt idx="11">
                    <c:v>Other</c:v>
                  </c:pt>
                  <c:pt idx="12">
                    <c:v>Other</c:v>
                  </c:pt>
                  <c:pt idx="13">
                    <c:v>Male</c:v>
                  </c:pt>
                  <c:pt idx="14">
                    <c:v>Other</c:v>
                  </c:pt>
                  <c:pt idx="15">
                    <c:v>Other</c:v>
                  </c:pt>
                  <c:pt idx="16">
                    <c:v>Other</c:v>
                  </c:pt>
                  <c:pt idx="17">
                    <c:v>Other</c:v>
                  </c:pt>
                  <c:pt idx="18">
                    <c:v>Female</c:v>
                  </c:pt>
                  <c:pt idx="19">
                    <c:v>Other</c:v>
                  </c:pt>
                  <c:pt idx="20">
                    <c:v>Male</c:v>
                  </c:pt>
                  <c:pt idx="21">
                    <c:v>Female</c:v>
                  </c:pt>
                  <c:pt idx="22">
                    <c:v>Other</c:v>
                  </c:pt>
                  <c:pt idx="23">
                    <c:v>Female</c:v>
                  </c:pt>
                  <c:pt idx="24">
                    <c:v>Male</c:v>
                  </c:pt>
                  <c:pt idx="25">
                    <c:v>Male</c:v>
                  </c:pt>
                  <c:pt idx="26">
                    <c:v>Male</c:v>
                  </c:pt>
                  <c:pt idx="27">
                    <c:v>Male</c:v>
                  </c:pt>
                  <c:pt idx="28">
                    <c:v>Other</c:v>
                  </c:pt>
                  <c:pt idx="29">
                    <c:v>Female</c:v>
                  </c:pt>
                </c:lvl>
                <c:lvl>
                  <c:pt idx="0">
                    <c:v>46</c:v>
                  </c:pt>
                  <c:pt idx="1">
                    <c:v>59</c:v>
                  </c:pt>
                  <c:pt idx="2">
                    <c:v>61</c:v>
                  </c:pt>
                  <c:pt idx="3">
                    <c:v>69</c:v>
                  </c:pt>
                  <c:pt idx="4">
                    <c:v>29</c:v>
                  </c:pt>
                  <c:pt idx="5">
                    <c:v>60</c:v>
                  </c:pt>
                  <c:pt idx="6">
                    <c:v>69</c:v>
                  </c:pt>
                  <c:pt idx="7">
                    <c:v>45</c:v>
                  </c:pt>
                  <c:pt idx="8">
                    <c:v>37</c:v>
                  </c:pt>
                  <c:pt idx="9">
                    <c:v>67</c:v>
                  </c:pt>
                  <c:pt idx="10">
                    <c:v>36</c:v>
                  </c:pt>
                  <c:pt idx="11">
                    <c:v>61</c:v>
                  </c:pt>
                  <c:pt idx="12">
                    <c:v>65</c:v>
                  </c:pt>
                  <c:pt idx="13">
                    <c:v>35</c:v>
                  </c:pt>
                  <c:pt idx="14">
                    <c:v>20</c:v>
                  </c:pt>
                  <c:pt idx="15">
                    <c:v>46</c:v>
                  </c:pt>
                  <c:pt idx="16">
                    <c:v>21</c:v>
                  </c:pt>
                  <c:pt idx="17">
                    <c:v>23</c:v>
                  </c:pt>
                  <c:pt idx="18">
                    <c:v>52</c:v>
                  </c:pt>
                  <c:pt idx="19">
                    <c:v>46</c:v>
                  </c:pt>
                  <c:pt idx="20">
                    <c:v>60</c:v>
                  </c:pt>
                  <c:pt idx="21">
                    <c:v>54</c:v>
                  </c:pt>
                  <c:pt idx="22">
                    <c:v>29</c:v>
                  </c:pt>
                  <c:pt idx="23">
                    <c:v>45</c:v>
                  </c:pt>
                  <c:pt idx="24">
                    <c:v>38</c:v>
                  </c:pt>
                  <c:pt idx="25">
                    <c:v>52</c:v>
                  </c:pt>
                  <c:pt idx="26">
                    <c:v>66</c:v>
                  </c:pt>
                  <c:pt idx="27">
                    <c:v>34</c:v>
                  </c:pt>
                  <c:pt idx="28">
                    <c:v>52</c:v>
                  </c:pt>
                  <c:pt idx="29">
                    <c:v>68</c:v>
                  </c:pt>
                </c:lvl>
                <c:lvl>
                  <c:pt idx="0">
                    <c:v>New Juan</c:v>
                  </c:pt>
                  <c:pt idx="1">
                    <c:v>South Julie</c:v>
                  </c:pt>
                  <c:pt idx="2">
                    <c:v>West Carrieview</c:v>
                  </c:pt>
                  <c:pt idx="3">
                    <c:v>Christianberg</c:v>
                  </c:pt>
                  <c:pt idx="4">
                    <c:v>South Williamhaven</c:v>
                  </c:pt>
                  <c:pt idx="5">
                    <c:v>Stephenfort</c:v>
                  </c:pt>
                  <c:pt idx="6">
                    <c:v>North Terristad</c:v>
                  </c:pt>
                  <c:pt idx="7">
                    <c:v>Pachecotown</c:v>
                  </c:pt>
                  <c:pt idx="8">
                    <c:v>Port Philipberg</c:v>
                  </c:pt>
                  <c:pt idx="9">
                    <c:v>Jenniferfurt</c:v>
                  </c:pt>
                  <c:pt idx="10">
                    <c:v>Lake Carolyn</c:v>
                  </c:pt>
                  <c:pt idx="11">
                    <c:v>Amandaborough</c:v>
                  </c:pt>
                  <c:pt idx="12">
                    <c:v>South Maria</c:v>
                  </c:pt>
                  <c:pt idx="13">
                    <c:v>West Marissa</c:v>
                  </c:pt>
                  <c:pt idx="14">
                    <c:v>Austinburgh</c:v>
                  </c:pt>
                  <c:pt idx="15">
                    <c:v>Lake Jesse</c:v>
                  </c:pt>
                  <c:pt idx="16">
                    <c:v>Marioburgh</c:v>
                  </c:pt>
                  <c:pt idx="17">
                    <c:v>Ryanhaven</c:v>
                  </c:pt>
                  <c:pt idx="18">
                    <c:v>Dickersonmouth</c:v>
                  </c:pt>
                  <c:pt idx="19">
                    <c:v>Annaborough</c:v>
                  </c:pt>
                  <c:pt idx="20">
                    <c:v>Ramirezburgh</c:v>
                  </c:pt>
                  <c:pt idx="21">
                    <c:v>Sextonberg</c:v>
                  </c:pt>
                  <c:pt idx="22">
                    <c:v>Beasleyshire</c:v>
                  </c:pt>
                  <c:pt idx="23">
                    <c:v>Lake Brittneyland</c:v>
                  </c:pt>
                  <c:pt idx="24">
                    <c:v>South John</c:v>
                  </c:pt>
                  <c:pt idx="25">
                    <c:v>New Devin</c:v>
                  </c:pt>
                  <c:pt idx="26">
                    <c:v>Lake Denise</c:v>
                  </c:pt>
                  <c:pt idx="27">
                    <c:v>South Susan</c:v>
                  </c:pt>
                  <c:pt idx="28">
                    <c:v>Johnsonchester</c:v>
                  </c:pt>
                  <c:pt idx="29">
                    <c:v>Martinberg</c:v>
                  </c:pt>
                </c:lvl>
                <c:lvl>
                  <c:pt idx="0">
                    <c:v>22-12-2023 10:35</c:v>
                  </c:pt>
                  <c:pt idx="1">
                    <c:v>05-05-2024 10:40</c:v>
                  </c:pt>
                  <c:pt idx="2">
                    <c:v>04-12-2023 05:22</c:v>
                  </c:pt>
                  <c:pt idx="3">
                    <c:v>02-01-2024 11:11</c:v>
                  </c:pt>
                  <c:pt idx="4">
                    <c:v>18-06-2024 01:01</c:v>
                  </c:pt>
                  <c:pt idx="5">
                    <c:v>06-03-2024 06:15</c:v>
                  </c:pt>
                  <c:pt idx="6">
                    <c:v>15-10-2023 13:30</c:v>
                  </c:pt>
                  <c:pt idx="7">
                    <c:v>16-05-2024 01:46</c:v>
                  </c:pt>
                  <c:pt idx="8">
                    <c:v>04-08-2024 17:13</c:v>
                  </c:pt>
                  <c:pt idx="9">
                    <c:v>18-12-2023 18:38</c:v>
                  </c:pt>
                  <c:pt idx="10">
                    <c:v>26-05-2024 02:56</c:v>
                  </c:pt>
                  <c:pt idx="11">
                    <c:v>26-09-2023 05:18</c:v>
                  </c:pt>
                  <c:pt idx="12">
                    <c:v>13-12-2023 23:53</c:v>
                  </c:pt>
                  <c:pt idx="13">
                    <c:v>02-12-2023 07:44</c:v>
                  </c:pt>
                  <c:pt idx="14">
                    <c:v>01-03-2024 17:49</c:v>
                  </c:pt>
                  <c:pt idx="15">
                    <c:v>12-08-2024 12:13</c:v>
                  </c:pt>
                  <c:pt idx="16">
                    <c:v>24-07-2024 08:49</c:v>
                  </c:pt>
                  <c:pt idx="17">
                    <c:v>14-06-2024 18:03</c:v>
                  </c:pt>
                  <c:pt idx="18">
                    <c:v>02-03-2024 05:18</c:v>
                  </c:pt>
                  <c:pt idx="19">
                    <c:v>19-05-2024 13:22</c:v>
                  </c:pt>
                  <c:pt idx="20">
                    <c:v>13-05-2024 10:04</c:v>
                  </c:pt>
                  <c:pt idx="21">
                    <c:v>05-04-2024 20:50</c:v>
                  </c:pt>
                  <c:pt idx="22">
                    <c:v>17-11-2023 05:30</c:v>
                  </c:pt>
                  <c:pt idx="23">
                    <c:v>05-08-2024 14:07</c:v>
                  </c:pt>
                  <c:pt idx="24">
                    <c:v>24-02-2024 01:14</c:v>
                  </c:pt>
                  <c:pt idx="25">
                    <c:v>04-03-2024 09:18</c:v>
                  </c:pt>
                  <c:pt idx="26">
                    <c:v>26-10-2023 07:12</c:v>
                  </c:pt>
                  <c:pt idx="27">
                    <c:v>04-08-2024 12:39</c:v>
                  </c:pt>
                  <c:pt idx="28">
                    <c:v>06-05-2024 01:39</c:v>
                  </c:pt>
                  <c:pt idx="29">
                    <c:v>23-10-2023 11:34</c:v>
                  </c:pt>
                </c:lvl>
                <c:lvl>
                  <c:pt idx="0">
                    <c:v>0.13</c:v>
                  </c:pt>
                  <c:pt idx="1">
                    <c:v>0.06</c:v>
                  </c:pt>
                  <c:pt idx="2">
                    <c:v>0.24</c:v>
                  </c:pt>
                  <c:pt idx="3">
                    <c:v>0.01</c:v>
                  </c:pt>
                  <c:pt idx="4">
                    <c:v>0.14</c:v>
                  </c:pt>
                  <c:pt idx="5">
                    <c:v>0.18</c:v>
                  </c:pt>
                  <c:pt idx="6">
                    <c:v>0.09</c:v>
                  </c:pt>
                  <c:pt idx="7">
                    <c:v>0.29</c:v>
                  </c:pt>
                  <c:pt idx="8">
                    <c:v>0.12</c:v>
                  </c:pt>
                  <c:pt idx="9">
                    <c:v>0.23</c:v>
                  </c:pt>
                  <c:pt idx="10">
                    <c:v>0.06</c:v>
                  </c:pt>
                  <c:pt idx="11">
                    <c:v>0.05</c:v>
                  </c:pt>
                  <c:pt idx="12">
                    <c:v>0.25</c:v>
                  </c:pt>
                  <c:pt idx="13">
                    <c:v>0.15</c:v>
                  </c:pt>
                  <c:pt idx="14">
                    <c:v>0.26</c:v>
                  </c:pt>
                  <c:pt idx="15">
                    <c:v>0.22</c:v>
                  </c:pt>
                  <c:pt idx="16">
                    <c:v>0.19</c:v>
                  </c:pt>
                  <c:pt idx="17">
                    <c:v>0.26</c:v>
                  </c:pt>
                  <c:pt idx="18">
                    <c:v>0.12</c:v>
                  </c:pt>
                  <c:pt idx="19">
                    <c:v>0.28</c:v>
                  </c:pt>
                  <c:pt idx="20">
                    <c:v>0.04</c:v>
                  </c:pt>
                  <c:pt idx="21">
                    <c:v>0.04</c:v>
                  </c:pt>
                  <c:pt idx="22">
                    <c:v>0.04</c:v>
                  </c:pt>
                  <c:pt idx="23">
                    <c:v>0.15</c:v>
                  </c:pt>
                  <c:pt idx="24">
                    <c:v>0.28</c:v>
                  </c:pt>
                  <c:pt idx="25">
                    <c:v>0.2</c:v>
                  </c:pt>
                  <c:pt idx="26">
                    <c:v>0.11</c:v>
                  </c:pt>
                  <c:pt idx="27">
                    <c:v>0.05</c:v>
                  </c:pt>
                  <c:pt idx="28">
                    <c:v>0.11</c:v>
                  </c:pt>
                  <c:pt idx="29">
                    <c:v>0.01</c:v>
                  </c:pt>
                </c:lvl>
                <c:lvl>
                  <c:pt idx="0">
                    <c:v>801.66</c:v>
                  </c:pt>
                  <c:pt idx="1">
                    <c:v>225.03</c:v>
                  </c:pt>
                  <c:pt idx="2">
                    <c:v>544.99</c:v>
                  </c:pt>
                  <c:pt idx="3">
                    <c:v>157.02</c:v>
                  </c:pt>
                  <c:pt idx="4">
                    <c:v>155.51</c:v>
                  </c:pt>
                  <c:pt idx="5">
                    <c:v>225.65</c:v>
                  </c:pt>
                  <c:pt idx="6">
                    <c:v>631.96</c:v>
                  </c:pt>
                  <c:pt idx="7">
                    <c:v>522.87</c:v>
                  </c:pt>
                  <c:pt idx="8">
                    <c:v>202.66</c:v>
                  </c:pt>
                  <c:pt idx="9">
                    <c:v>401.52</c:v>
                  </c:pt>
                  <c:pt idx="10">
                    <c:v>346.31</c:v>
                  </c:pt>
                  <c:pt idx="11">
                    <c:v>434.15</c:v>
                  </c:pt>
                  <c:pt idx="12">
                    <c:v>189.87</c:v>
                  </c:pt>
                  <c:pt idx="13">
                    <c:v>559.1</c:v>
                  </c:pt>
                  <c:pt idx="14">
                    <c:v>29.01</c:v>
                  </c:pt>
                  <c:pt idx="15">
                    <c:v>541.5</c:v>
                  </c:pt>
                  <c:pt idx="16">
                    <c:v>218.68</c:v>
                  </c:pt>
                  <c:pt idx="17">
                    <c:v>439.07</c:v>
                  </c:pt>
                  <c:pt idx="18">
                    <c:v>849.82</c:v>
                  </c:pt>
                  <c:pt idx="19">
                    <c:v>886.69</c:v>
                  </c:pt>
                  <c:pt idx="20">
                    <c:v>137.79</c:v>
                  </c:pt>
                  <c:pt idx="21">
                    <c:v>6.58</c:v>
                  </c:pt>
                  <c:pt idx="22">
                    <c:v>888.2</c:v>
                  </c:pt>
                  <c:pt idx="23">
                    <c:v>109.35</c:v>
                  </c:pt>
                  <c:pt idx="24">
                    <c:v>144.08</c:v>
                  </c:pt>
                  <c:pt idx="25">
                    <c:v>576.59</c:v>
                  </c:pt>
                  <c:pt idx="26">
                    <c:v>954.41</c:v>
                  </c:pt>
                  <c:pt idx="27">
                    <c:v>513.82</c:v>
                  </c:pt>
                  <c:pt idx="28">
                    <c:v>767.89</c:v>
                  </c:pt>
                  <c:pt idx="29">
                    <c:v>653.79</c:v>
                  </c:pt>
                </c:lvl>
                <c:lvl>
                  <c:pt idx="0">
                    <c:v>Cash on Delivery</c:v>
                  </c:pt>
                  <c:pt idx="1">
                    <c:v>Debit Card</c:v>
                  </c:pt>
                  <c:pt idx="2">
                    <c:v>Debit Card</c:v>
                  </c:pt>
                  <c:pt idx="3">
                    <c:v>Bank Transfer</c:v>
                  </c:pt>
                  <c:pt idx="4">
                    <c:v>Debit Card</c:v>
                  </c:pt>
                  <c:pt idx="5">
                    <c:v>Bank Transfer</c:v>
                  </c:pt>
                  <c:pt idx="6">
                    <c:v>Credit Card</c:v>
                  </c:pt>
                  <c:pt idx="7">
                    <c:v>Cash on Delivery</c:v>
                  </c:pt>
                  <c:pt idx="8">
                    <c:v>Cash on Delivery</c:v>
                  </c:pt>
                  <c:pt idx="9">
                    <c:v>Cash on Delivery</c:v>
                  </c:pt>
                  <c:pt idx="10">
                    <c:v>Cash on Delivery</c:v>
                  </c:pt>
                  <c:pt idx="11">
                    <c:v>Bank Transfer</c:v>
                  </c:pt>
                  <c:pt idx="12">
                    <c:v>Credit Card</c:v>
                  </c:pt>
                  <c:pt idx="13">
                    <c:v>Debit Card</c:v>
                  </c:pt>
                  <c:pt idx="14">
                    <c:v>Cash on Delivery</c:v>
                  </c:pt>
                  <c:pt idx="15">
                    <c:v>Bank Transfer</c:v>
                  </c:pt>
                  <c:pt idx="16">
                    <c:v>Credit Card</c:v>
                  </c:pt>
                  <c:pt idx="17">
                    <c:v>PayPal</c:v>
                  </c:pt>
                  <c:pt idx="18">
                    <c:v>Cash on Delivery</c:v>
                  </c:pt>
                  <c:pt idx="19">
                    <c:v>Debit Card</c:v>
                  </c:pt>
                  <c:pt idx="20">
                    <c:v>Credit Card</c:v>
                  </c:pt>
                  <c:pt idx="21">
                    <c:v>PayPal</c:v>
                  </c:pt>
                  <c:pt idx="22">
                    <c:v>Cash on Delivery</c:v>
                  </c:pt>
                  <c:pt idx="23">
                    <c:v>Debit Card</c:v>
                  </c:pt>
                  <c:pt idx="24">
                    <c:v>Cash on Delivery</c:v>
                  </c:pt>
                  <c:pt idx="25">
                    <c:v>Bank Transfer</c:v>
                  </c:pt>
                  <c:pt idx="26">
                    <c:v>PayPal</c:v>
                  </c:pt>
                  <c:pt idx="27">
                    <c:v>Credit Card</c:v>
                  </c:pt>
                  <c:pt idx="28">
                    <c:v>Credit Card</c:v>
                  </c:pt>
                  <c:pt idx="29">
                    <c:v>Cash on Delivery</c:v>
                  </c:pt>
                </c:lvl>
                <c:lvl>
                  <c:pt idx="0">
                    <c:v>Clothing</c:v>
                  </c:pt>
                  <c:pt idx="1">
                    <c:v>Beauty</c:v>
                  </c:pt>
                  <c:pt idx="2">
                    <c:v>Toys</c:v>
                  </c:pt>
                  <c:pt idx="3">
                    <c:v>Beauty</c:v>
                  </c:pt>
                  <c:pt idx="4">
                    <c:v>Electronics</c:v>
                  </c:pt>
                  <c:pt idx="5">
                    <c:v>Books</c:v>
                  </c:pt>
                  <c:pt idx="6">
                    <c:v>Beauty</c:v>
                  </c:pt>
                  <c:pt idx="7">
                    <c:v>Sports</c:v>
                  </c:pt>
                  <c:pt idx="8">
                    <c:v>Books</c:v>
                  </c:pt>
                  <c:pt idx="9">
                    <c:v>Toys</c:v>
                  </c:pt>
                  <c:pt idx="10">
                    <c:v>Clothing</c:v>
                  </c:pt>
                  <c:pt idx="11">
                    <c:v>Sports</c:v>
                  </c:pt>
                  <c:pt idx="12">
                    <c:v>Electronics</c:v>
                  </c:pt>
                  <c:pt idx="13">
                    <c:v>Home &amp; Kitchen</c:v>
                  </c:pt>
                  <c:pt idx="14">
                    <c:v>Toys</c:v>
                  </c:pt>
                  <c:pt idx="15">
                    <c:v>Toys</c:v>
                  </c:pt>
                  <c:pt idx="16">
                    <c:v>Beauty</c:v>
                  </c:pt>
                  <c:pt idx="17">
                    <c:v>Clothing</c:v>
                  </c:pt>
                  <c:pt idx="18">
                    <c:v>Books</c:v>
                  </c:pt>
                  <c:pt idx="19">
                    <c:v>Electronics</c:v>
                  </c:pt>
                  <c:pt idx="20">
                    <c:v>Toys</c:v>
                  </c:pt>
                  <c:pt idx="21">
                    <c:v>Electronics</c:v>
                  </c:pt>
                  <c:pt idx="22">
                    <c:v>Toys</c:v>
                  </c:pt>
                  <c:pt idx="23">
                    <c:v>Toys</c:v>
                  </c:pt>
                  <c:pt idx="24">
                    <c:v>Electronics</c:v>
                  </c:pt>
                  <c:pt idx="25">
                    <c:v>Sports</c:v>
                  </c:pt>
                  <c:pt idx="26">
                    <c:v>Electronics</c:v>
                  </c:pt>
                  <c:pt idx="27">
                    <c:v>Home &amp; Kitchen</c:v>
                  </c:pt>
                  <c:pt idx="28">
                    <c:v>Sports</c:v>
                  </c:pt>
                  <c:pt idx="29">
                    <c:v>Beauty</c:v>
                  </c:pt>
                </c:lvl>
                <c:lvl>
                  <c:pt idx="0">
                    <c:v>295</c:v>
                  </c:pt>
                  <c:pt idx="1">
                    <c:v>546</c:v>
                  </c:pt>
                  <c:pt idx="2">
                    <c:v>430</c:v>
                  </c:pt>
                  <c:pt idx="3">
                    <c:v>807</c:v>
                  </c:pt>
                  <c:pt idx="4">
                    <c:v>319</c:v>
                  </c:pt>
                  <c:pt idx="5">
                    <c:v>282</c:v>
                  </c:pt>
                  <c:pt idx="6">
                    <c:v>276</c:v>
                  </c:pt>
                  <c:pt idx="7">
                    <c:v>574</c:v>
                  </c:pt>
                  <c:pt idx="8">
                    <c:v>948</c:v>
                  </c:pt>
                  <c:pt idx="9">
                    <c:v>459</c:v>
                  </c:pt>
                  <c:pt idx="10">
                    <c:v>745</c:v>
                  </c:pt>
                  <c:pt idx="11">
                    <c:v>564</c:v>
                  </c:pt>
                  <c:pt idx="12">
                    <c:v>334</c:v>
                  </c:pt>
                  <c:pt idx="13">
                    <c:v>536</c:v>
                  </c:pt>
                  <c:pt idx="14">
                    <c:v>239</c:v>
                  </c:pt>
                  <c:pt idx="15">
                    <c:v>587</c:v>
                  </c:pt>
                  <c:pt idx="16">
                    <c:v>868</c:v>
                  </c:pt>
                  <c:pt idx="17">
                    <c:v>384</c:v>
                  </c:pt>
                  <c:pt idx="18">
                    <c:v>701</c:v>
                  </c:pt>
                  <c:pt idx="19">
                    <c:v>427</c:v>
                  </c:pt>
                  <c:pt idx="20">
                    <c:v>150</c:v>
                  </c:pt>
                  <c:pt idx="21">
                    <c:v>797</c:v>
                  </c:pt>
                  <c:pt idx="22">
                    <c:v>577</c:v>
                  </c:pt>
                  <c:pt idx="23">
                    <c:v>385</c:v>
                  </c:pt>
                  <c:pt idx="24">
                    <c:v>419</c:v>
                  </c:pt>
                  <c:pt idx="25">
                    <c:v>733</c:v>
                  </c:pt>
                  <c:pt idx="26">
                    <c:v>278</c:v>
                  </c:pt>
                  <c:pt idx="27">
                    <c:v>231</c:v>
                  </c:pt>
                  <c:pt idx="28">
                    <c:v>699</c:v>
                  </c:pt>
                  <c:pt idx="29">
                    <c:v>829</c:v>
                  </c:pt>
                </c:lvl>
                <c:lvl>
                  <c:pt idx="0">
                    <c:v>8270</c:v>
                  </c:pt>
                  <c:pt idx="1">
                    <c:v>1860</c:v>
                  </c:pt>
                  <c:pt idx="2">
                    <c:v>6390</c:v>
                  </c:pt>
                  <c:pt idx="3">
                    <c:v>6191</c:v>
                  </c:pt>
                  <c:pt idx="4">
                    <c:v>6734</c:v>
                  </c:pt>
                  <c:pt idx="5">
                    <c:v>7265</c:v>
                  </c:pt>
                  <c:pt idx="6">
                    <c:v>1466</c:v>
                  </c:pt>
                  <c:pt idx="7">
                    <c:v>5426</c:v>
                  </c:pt>
                  <c:pt idx="8">
                    <c:v>6578</c:v>
                  </c:pt>
                  <c:pt idx="9">
                    <c:v>9322</c:v>
                  </c:pt>
                  <c:pt idx="10">
                    <c:v>2685</c:v>
                  </c:pt>
                  <c:pt idx="11">
                    <c:v>1769</c:v>
                  </c:pt>
                  <c:pt idx="12">
                    <c:v>7949</c:v>
                  </c:pt>
                  <c:pt idx="13">
                    <c:v>3433</c:v>
                  </c:pt>
                  <c:pt idx="14">
                    <c:v>6311</c:v>
                  </c:pt>
                  <c:pt idx="15">
                    <c:v>6051</c:v>
                  </c:pt>
                  <c:pt idx="16">
                    <c:v>7420</c:v>
                  </c:pt>
                  <c:pt idx="17">
                    <c:v>2184</c:v>
                  </c:pt>
                  <c:pt idx="18">
                    <c:v>5555</c:v>
                  </c:pt>
                  <c:pt idx="19">
                    <c:v>4385</c:v>
                  </c:pt>
                  <c:pt idx="20">
                    <c:v>7396</c:v>
                  </c:pt>
                  <c:pt idx="21">
                    <c:v>9666</c:v>
                  </c:pt>
                  <c:pt idx="22">
                    <c:v>3558</c:v>
                  </c:pt>
                  <c:pt idx="23">
                    <c:v>8849</c:v>
                  </c:pt>
                  <c:pt idx="24">
                    <c:v>3047</c:v>
                  </c:pt>
                  <c:pt idx="25">
                    <c:v>3747</c:v>
                  </c:pt>
                  <c:pt idx="26">
                    <c:v>1189</c:v>
                  </c:pt>
                  <c:pt idx="27">
                    <c:v>3734</c:v>
                  </c:pt>
                  <c:pt idx="28">
                    <c:v>4005</c:v>
                  </c:pt>
                  <c:pt idx="29">
                    <c:v>5658</c:v>
                  </c:pt>
                </c:lvl>
                <c:lvl>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lvl>
              </c:multiLvlStrCache>
            </c:multiLvlStrRef>
          </c:cat>
          <c:val>
            <c:numRef>
              <c:f>ecommerce_sales_data!$P$2:$P$31</c:f>
              <c:numCache>
                <c:formatCode>General</c:formatCode>
                <c:ptCount val="30"/>
                <c:pt idx="0">
                  <c:v>1</c:v>
                </c:pt>
                <c:pt idx="1">
                  <c:v>2</c:v>
                </c:pt>
                <c:pt idx="2">
                  <c:v>3</c:v>
                </c:pt>
                <c:pt idx="3">
                  <c:v>2</c:v>
                </c:pt>
                <c:pt idx="4">
                  <c:v>4</c:v>
                </c:pt>
                <c:pt idx="5">
                  <c:v>6</c:v>
                </c:pt>
                <c:pt idx="6">
                  <c:v>2</c:v>
                </c:pt>
                <c:pt idx="7">
                  <c:v>5</c:v>
                </c:pt>
                <c:pt idx="8">
                  <c:v>6</c:v>
                </c:pt>
                <c:pt idx="9">
                  <c:v>3</c:v>
                </c:pt>
                <c:pt idx="10">
                  <c:v>1</c:v>
                </c:pt>
                <c:pt idx="11">
                  <c:v>5</c:v>
                </c:pt>
                <c:pt idx="12">
                  <c:v>4</c:v>
                </c:pt>
                <c:pt idx="13">
                  <c:v>0</c:v>
                </c:pt>
                <c:pt idx="14">
                  <c:v>3</c:v>
                </c:pt>
                <c:pt idx="15">
                  <c:v>3</c:v>
                </c:pt>
                <c:pt idx="16">
                  <c:v>2</c:v>
                </c:pt>
                <c:pt idx="17">
                  <c:v>1</c:v>
                </c:pt>
                <c:pt idx="18">
                  <c:v>6</c:v>
                </c:pt>
                <c:pt idx="19">
                  <c:v>4</c:v>
                </c:pt>
                <c:pt idx="20">
                  <c:v>3</c:v>
                </c:pt>
                <c:pt idx="21">
                  <c:v>4</c:v>
                </c:pt>
                <c:pt idx="22">
                  <c:v>3</c:v>
                </c:pt>
                <c:pt idx="23">
                  <c:v>3</c:v>
                </c:pt>
                <c:pt idx="24">
                  <c:v>4</c:v>
                </c:pt>
                <c:pt idx="25">
                  <c:v>5</c:v>
                </c:pt>
                <c:pt idx="26">
                  <c:v>4</c:v>
                </c:pt>
                <c:pt idx="27">
                  <c:v>0</c:v>
                </c:pt>
                <c:pt idx="28">
                  <c:v>5</c:v>
                </c:pt>
                <c:pt idx="29">
                  <c:v>2</c:v>
                </c:pt>
              </c:numCache>
            </c:numRef>
          </c:val>
          <c:extLst>
            <c:ext xmlns:c16="http://schemas.microsoft.com/office/drawing/2014/chart" uri="{C3380CC4-5D6E-409C-BE32-E72D297353CC}">
              <c16:uniqueId val="{00000002-9604-43A2-9E2B-9E78B443D847}"/>
            </c:ext>
          </c:extLst>
        </c:ser>
        <c:dLbls>
          <c:dLblPos val="bestFit"/>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[ecommerce_sales_data(dashboard).xlsx]ecommerce_sales_data!PivotTable3</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949319926861216"/>
          <c:y val="0.15463457912831319"/>
          <c:w val="0.61539602619010059"/>
          <c:h val="0.58020876225154128"/>
        </c:manualLayout>
      </c:layout>
      <c:barChart>
        <c:barDir val="col"/>
        <c:grouping val="clustered"/>
        <c:varyColors val="0"/>
        <c:ser>
          <c:idx val="0"/>
          <c:order val="0"/>
          <c:tx>
            <c:strRef>
              <c:f>ecommerce_sales_data!$C$46:$C$47</c:f>
              <c:strCache>
                <c:ptCount val="1"/>
                <c:pt idx="0">
                  <c:v>Beauty</c:v>
                </c:pt>
              </c:strCache>
            </c:strRef>
          </c:tx>
          <c:spPr>
            <a:solidFill>
              <a:schemeClr val="accent1"/>
            </a:solidFill>
            <a:ln>
              <a:noFill/>
            </a:ln>
            <a:effectLst/>
          </c:spPr>
          <c:invertIfNegative val="0"/>
          <c:cat>
            <c:strRef>
              <c:f>ecommerce_sales_data!$B$48:$B$51</c:f>
              <c:strCache>
                <c:ptCount val="3"/>
                <c:pt idx="0">
                  <c:v>Female</c:v>
                </c:pt>
                <c:pt idx="1">
                  <c:v>Male</c:v>
                </c:pt>
                <c:pt idx="2">
                  <c:v>Other</c:v>
                </c:pt>
              </c:strCache>
            </c:strRef>
          </c:cat>
          <c:val>
            <c:numRef>
              <c:f>ecommerce_sales_data!$C$48:$C$51</c:f>
              <c:numCache>
                <c:formatCode>General</c:formatCode>
                <c:ptCount val="3"/>
                <c:pt idx="0">
                  <c:v>810.81</c:v>
                </c:pt>
                <c:pt idx="1">
                  <c:v>631.96</c:v>
                </c:pt>
                <c:pt idx="2">
                  <c:v>443.71000000000004</c:v>
                </c:pt>
              </c:numCache>
            </c:numRef>
          </c:val>
          <c:extLst>
            <c:ext xmlns:c16="http://schemas.microsoft.com/office/drawing/2014/chart" uri="{C3380CC4-5D6E-409C-BE32-E72D297353CC}">
              <c16:uniqueId val="{00000000-6864-4B73-BB66-3DAE2699DF2D}"/>
            </c:ext>
          </c:extLst>
        </c:ser>
        <c:ser>
          <c:idx val="1"/>
          <c:order val="1"/>
          <c:tx>
            <c:strRef>
              <c:f>ecommerce_sales_data!$D$46:$D$47</c:f>
              <c:strCache>
                <c:ptCount val="1"/>
                <c:pt idx="0">
                  <c:v>Books</c:v>
                </c:pt>
              </c:strCache>
            </c:strRef>
          </c:tx>
          <c:spPr>
            <a:solidFill>
              <a:schemeClr val="accent2"/>
            </a:solidFill>
            <a:ln>
              <a:noFill/>
            </a:ln>
            <a:effectLst/>
          </c:spPr>
          <c:invertIfNegative val="0"/>
          <c:cat>
            <c:strRef>
              <c:f>ecommerce_sales_data!$B$48:$B$51</c:f>
              <c:strCache>
                <c:ptCount val="3"/>
                <c:pt idx="0">
                  <c:v>Female</c:v>
                </c:pt>
                <c:pt idx="1">
                  <c:v>Male</c:v>
                </c:pt>
                <c:pt idx="2">
                  <c:v>Other</c:v>
                </c:pt>
              </c:strCache>
            </c:strRef>
          </c:cat>
          <c:val>
            <c:numRef>
              <c:f>ecommerce_sales_data!$D$48:$D$51</c:f>
              <c:numCache>
                <c:formatCode>General</c:formatCode>
                <c:ptCount val="3"/>
                <c:pt idx="0">
                  <c:v>849.82</c:v>
                </c:pt>
                <c:pt idx="1">
                  <c:v>428.31</c:v>
                </c:pt>
              </c:numCache>
            </c:numRef>
          </c:val>
          <c:extLst>
            <c:ext xmlns:c16="http://schemas.microsoft.com/office/drawing/2014/chart" uri="{C3380CC4-5D6E-409C-BE32-E72D297353CC}">
              <c16:uniqueId val="{00000001-6864-4B73-BB66-3DAE2699DF2D}"/>
            </c:ext>
          </c:extLst>
        </c:ser>
        <c:ser>
          <c:idx val="2"/>
          <c:order val="2"/>
          <c:tx>
            <c:strRef>
              <c:f>ecommerce_sales_data!$E$46:$E$47</c:f>
              <c:strCache>
                <c:ptCount val="1"/>
                <c:pt idx="0">
                  <c:v>Clothing</c:v>
                </c:pt>
              </c:strCache>
            </c:strRef>
          </c:tx>
          <c:spPr>
            <a:solidFill>
              <a:schemeClr val="accent3"/>
            </a:solidFill>
            <a:ln>
              <a:noFill/>
            </a:ln>
            <a:effectLst/>
          </c:spPr>
          <c:invertIfNegative val="0"/>
          <c:cat>
            <c:strRef>
              <c:f>ecommerce_sales_data!$B$48:$B$51</c:f>
              <c:strCache>
                <c:ptCount val="3"/>
                <c:pt idx="0">
                  <c:v>Female</c:v>
                </c:pt>
                <c:pt idx="1">
                  <c:v>Male</c:v>
                </c:pt>
                <c:pt idx="2">
                  <c:v>Other</c:v>
                </c:pt>
              </c:strCache>
            </c:strRef>
          </c:cat>
          <c:val>
            <c:numRef>
              <c:f>ecommerce_sales_data!$E$48:$E$51</c:f>
              <c:numCache>
                <c:formatCode>General</c:formatCode>
                <c:ptCount val="3"/>
                <c:pt idx="0">
                  <c:v>801.66</c:v>
                </c:pt>
                <c:pt idx="2">
                  <c:v>785.38</c:v>
                </c:pt>
              </c:numCache>
            </c:numRef>
          </c:val>
          <c:extLst>
            <c:ext xmlns:c16="http://schemas.microsoft.com/office/drawing/2014/chart" uri="{C3380CC4-5D6E-409C-BE32-E72D297353CC}">
              <c16:uniqueId val="{00000002-6864-4B73-BB66-3DAE2699DF2D}"/>
            </c:ext>
          </c:extLst>
        </c:ser>
        <c:ser>
          <c:idx val="3"/>
          <c:order val="3"/>
          <c:tx>
            <c:strRef>
              <c:f>ecommerce_sales_data!$F$46:$F$47</c:f>
              <c:strCache>
                <c:ptCount val="1"/>
                <c:pt idx="0">
                  <c:v>Electronics</c:v>
                </c:pt>
              </c:strCache>
            </c:strRef>
          </c:tx>
          <c:spPr>
            <a:solidFill>
              <a:schemeClr val="accent4"/>
            </a:solidFill>
            <a:ln>
              <a:noFill/>
            </a:ln>
            <a:effectLst/>
          </c:spPr>
          <c:invertIfNegative val="0"/>
          <c:cat>
            <c:strRef>
              <c:f>ecommerce_sales_data!$B$48:$B$51</c:f>
              <c:strCache>
                <c:ptCount val="3"/>
                <c:pt idx="0">
                  <c:v>Female</c:v>
                </c:pt>
                <c:pt idx="1">
                  <c:v>Male</c:v>
                </c:pt>
                <c:pt idx="2">
                  <c:v>Other</c:v>
                </c:pt>
              </c:strCache>
            </c:strRef>
          </c:cat>
          <c:val>
            <c:numRef>
              <c:f>ecommerce_sales_data!$F$48:$F$51</c:f>
              <c:numCache>
                <c:formatCode>General</c:formatCode>
                <c:ptCount val="3"/>
                <c:pt idx="0">
                  <c:v>6.58</c:v>
                </c:pt>
                <c:pt idx="1">
                  <c:v>1098.49</c:v>
                </c:pt>
                <c:pt idx="2">
                  <c:v>1232.0700000000002</c:v>
                </c:pt>
              </c:numCache>
            </c:numRef>
          </c:val>
          <c:extLst>
            <c:ext xmlns:c16="http://schemas.microsoft.com/office/drawing/2014/chart" uri="{C3380CC4-5D6E-409C-BE32-E72D297353CC}">
              <c16:uniqueId val="{00000003-6864-4B73-BB66-3DAE2699DF2D}"/>
            </c:ext>
          </c:extLst>
        </c:ser>
        <c:ser>
          <c:idx val="4"/>
          <c:order val="4"/>
          <c:tx>
            <c:strRef>
              <c:f>ecommerce_sales_data!$G$46:$G$47</c:f>
              <c:strCache>
                <c:ptCount val="1"/>
                <c:pt idx="0">
                  <c:v>Home &amp; Kitchen</c:v>
                </c:pt>
              </c:strCache>
            </c:strRef>
          </c:tx>
          <c:spPr>
            <a:solidFill>
              <a:schemeClr val="accent5"/>
            </a:solidFill>
            <a:ln>
              <a:noFill/>
            </a:ln>
            <a:effectLst/>
          </c:spPr>
          <c:invertIfNegative val="0"/>
          <c:cat>
            <c:strRef>
              <c:f>ecommerce_sales_data!$B$48:$B$51</c:f>
              <c:strCache>
                <c:ptCount val="3"/>
                <c:pt idx="0">
                  <c:v>Female</c:v>
                </c:pt>
                <c:pt idx="1">
                  <c:v>Male</c:v>
                </c:pt>
                <c:pt idx="2">
                  <c:v>Other</c:v>
                </c:pt>
              </c:strCache>
            </c:strRef>
          </c:cat>
          <c:val>
            <c:numRef>
              <c:f>ecommerce_sales_data!$G$48:$G$51</c:f>
              <c:numCache>
                <c:formatCode>General</c:formatCode>
                <c:ptCount val="3"/>
                <c:pt idx="1">
                  <c:v>1072.92</c:v>
                </c:pt>
              </c:numCache>
            </c:numRef>
          </c:val>
          <c:extLst>
            <c:ext xmlns:c16="http://schemas.microsoft.com/office/drawing/2014/chart" uri="{C3380CC4-5D6E-409C-BE32-E72D297353CC}">
              <c16:uniqueId val="{00000004-6864-4B73-BB66-3DAE2699DF2D}"/>
            </c:ext>
          </c:extLst>
        </c:ser>
        <c:ser>
          <c:idx val="5"/>
          <c:order val="5"/>
          <c:tx>
            <c:strRef>
              <c:f>ecommerce_sales_data!$H$46:$H$47</c:f>
              <c:strCache>
                <c:ptCount val="1"/>
                <c:pt idx="0">
                  <c:v>Sports</c:v>
                </c:pt>
              </c:strCache>
            </c:strRef>
          </c:tx>
          <c:spPr>
            <a:solidFill>
              <a:schemeClr val="accent6"/>
            </a:solidFill>
            <a:ln>
              <a:noFill/>
            </a:ln>
            <a:effectLst/>
          </c:spPr>
          <c:invertIfNegative val="0"/>
          <c:cat>
            <c:strRef>
              <c:f>ecommerce_sales_data!$B$48:$B$51</c:f>
              <c:strCache>
                <c:ptCount val="3"/>
                <c:pt idx="0">
                  <c:v>Female</c:v>
                </c:pt>
                <c:pt idx="1">
                  <c:v>Male</c:v>
                </c:pt>
                <c:pt idx="2">
                  <c:v>Other</c:v>
                </c:pt>
              </c:strCache>
            </c:strRef>
          </c:cat>
          <c:val>
            <c:numRef>
              <c:f>ecommerce_sales_data!$H$48:$H$51</c:f>
              <c:numCache>
                <c:formatCode>General</c:formatCode>
                <c:ptCount val="3"/>
                <c:pt idx="0">
                  <c:v>522.87</c:v>
                </c:pt>
                <c:pt idx="1">
                  <c:v>576.59</c:v>
                </c:pt>
                <c:pt idx="2">
                  <c:v>1202.04</c:v>
                </c:pt>
              </c:numCache>
            </c:numRef>
          </c:val>
          <c:extLst>
            <c:ext xmlns:c16="http://schemas.microsoft.com/office/drawing/2014/chart" uri="{C3380CC4-5D6E-409C-BE32-E72D297353CC}">
              <c16:uniqueId val="{00000005-6864-4B73-BB66-3DAE2699DF2D}"/>
            </c:ext>
          </c:extLst>
        </c:ser>
        <c:ser>
          <c:idx val="6"/>
          <c:order val="6"/>
          <c:tx>
            <c:strRef>
              <c:f>ecommerce_sales_data!$I$46:$I$47</c:f>
              <c:strCache>
                <c:ptCount val="1"/>
                <c:pt idx="0">
                  <c:v>Toys</c:v>
                </c:pt>
              </c:strCache>
            </c:strRef>
          </c:tx>
          <c:spPr>
            <a:solidFill>
              <a:schemeClr val="accent1">
                <a:lumMod val="60000"/>
              </a:schemeClr>
            </a:solidFill>
            <a:ln>
              <a:noFill/>
            </a:ln>
            <a:effectLst/>
          </c:spPr>
          <c:invertIfNegative val="0"/>
          <c:cat>
            <c:strRef>
              <c:f>ecommerce_sales_data!$B$48:$B$51</c:f>
              <c:strCache>
                <c:ptCount val="3"/>
                <c:pt idx="0">
                  <c:v>Female</c:v>
                </c:pt>
                <c:pt idx="1">
                  <c:v>Male</c:v>
                </c:pt>
                <c:pt idx="2">
                  <c:v>Other</c:v>
                </c:pt>
              </c:strCache>
            </c:strRef>
          </c:cat>
          <c:val>
            <c:numRef>
              <c:f>ecommerce_sales_data!$I$48:$I$51</c:f>
              <c:numCache>
                <c:formatCode>General</c:formatCode>
                <c:ptCount val="3"/>
                <c:pt idx="0">
                  <c:v>1055.8599999999999</c:v>
                </c:pt>
                <c:pt idx="1">
                  <c:v>137.79</c:v>
                </c:pt>
                <c:pt idx="2">
                  <c:v>1458.71</c:v>
                </c:pt>
              </c:numCache>
            </c:numRef>
          </c:val>
          <c:extLst>
            <c:ext xmlns:c16="http://schemas.microsoft.com/office/drawing/2014/chart" uri="{C3380CC4-5D6E-409C-BE32-E72D297353CC}">
              <c16:uniqueId val="{00000006-6864-4B73-BB66-3DAE2699DF2D}"/>
            </c:ext>
          </c:extLst>
        </c:ser>
        <c:dLbls>
          <c:showLegendKey val="0"/>
          <c:showVal val="0"/>
          <c:showCatName val="0"/>
          <c:showSerName val="0"/>
          <c:showPercent val="0"/>
          <c:showBubbleSize val="0"/>
        </c:dLbls>
        <c:gapWidth val="219"/>
        <c:overlap val="-27"/>
        <c:axId val="527769903"/>
        <c:axId val="527768463"/>
      </c:barChart>
      <c:catAx>
        <c:axId val="527769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7768463"/>
        <c:crosses val="autoZero"/>
        <c:auto val="1"/>
        <c:lblAlgn val="ctr"/>
        <c:lblOffset val="100"/>
        <c:noMultiLvlLbl val="0"/>
      </c:catAx>
      <c:valAx>
        <c:axId val="5277684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7769903"/>
        <c:crosses val="autoZero"/>
        <c:crossBetween val="between"/>
      </c:valAx>
      <c:spPr>
        <a:noFill/>
        <a:ln>
          <a:noFill/>
        </a:ln>
        <a:effectLst/>
      </c:spPr>
    </c:plotArea>
    <c:legend>
      <c:legendPos val="r"/>
      <c:layout>
        <c:manualLayout>
          <c:xMode val="edge"/>
          <c:yMode val="edge"/>
          <c:x val="0.80693951717573764"/>
          <c:y val="9.1538606693771105E-2"/>
          <c:w val="0.15843215283759793"/>
          <c:h val="0.6018467052123436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glow rad="127000">
        <a:schemeClr val="accent1">
          <a:alpha val="0"/>
        </a:schemeClr>
      </a:glow>
      <a:softEdge rad="12700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[ecommerce_sales_data(dashboard).xlsx]ecommerce_sales_data!PivotTable4</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payment Method by</a:t>
            </a:r>
            <a:r>
              <a:rPr lang="en-IN" baseline="0"/>
              <a:t> gender</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ecommerce_sales_data!$N$43:$N$44</c:f>
              <c:strCache>
                <c:ptCount val="1"/>
                <c:pt idx="0">
                  <c:v>Bank Transfer</c:v>
                </c:pt>
              </c:strCache>
            </c:strRef>
          </c:tx>
          <c:spPr>
            <a:solidFill>
              <a:schemeClr val="accent1"/>
            </a:solidFill>
            <a:ln>
              <a:noFill/>
            </a:ln>
            <a:effectLst/>
          </c:spPr>
          <c:invertIfNegative val="0"/>
          <c:cat>
            <c:strRef>
              <c:f>ecommerce_sales_data!$M$45:$M$48</c:f>
              <c:strCache>
                <c:ptCount val="3"/>
                <c:pt idx="0">
                  <c:v>Female</c:v>
                </c:pt>
                <c:pt idx="1">
                  <c:v>Male</c:v>
                </c:pt>
                <c:pt idx="2">
                  <c:v>Other</c:v>
                </c:pt>
              </c:strCache>
            </c:strRef>
          </c:cat>
          <c:val>
            <c:numRef>
              <c:f>ecommerce_sales_data!$N$45:$N$48</c:f>
              <c:numCache>
                <c:formatCode>General</c:formatCode>
                <c:ptCount val="3"/>
                <c:pt idx="0">
                  <c:v>157.02000000000001</c:v>
                </c:pt>
                <c:pt idx="1">
                  <c:v>802.24</c:v>
                </c:pt>
                <c:pt idx="2">
                  <c:v>975.65</c:v>
                </c:pt>
              </c:numCache>
            </c:numRef>
          </c:val>
          <c:extLst>
            <c:ext xmlns:c16="http://schemas.microsoft.com/office/drawing/2014/chart" uri="{C3380CC4-5D6E-409C-BE32-E72D297353CC}">
              <c16:uniqueId val="{00000000-0202-4BE3-82E2-FB8D7A3B57C5}"/>
            </c:ext>
          </c:extLst>
        </c:ser>
        <c:ser>
          <c:idx val="1"/>
          <c:order val="1"/>
          <c:tx>
            <c:strRef>
              <c:f>ecommerce_sales_data!$O$43:$O$44</c:f>
              <c:strCache>
                <c:ptCount val="1"/>
                <c:pt idx="0">
                  <c:v>Cash on Delivery</c:v>
                </c:pt>
              </c:strCache>
            </c:strRef>
          </c:tx>
          <c:spPr>
            <a:solidFill>
              <a:schemeClr val="accent2"/>
            </a:solidFill>
            <a:ln>
              <a:noFill/>
            </a:ln>
            <a:effectLst/>
          </c:spPr>
          <c:invertIfNegative val="0"/>
          <c:cat>
            <c:strRef>
              <c:f>ecommerce_sales_data!$M$45:$M$48</c:f>
              <c:strCache>
                <c:ptCount val="3"/>
                <c:pt idx="0">
                  <c:v>Female</c:v>
                </c:pt>
                <c:pt idx="1">
                  <c:v>Male</c:v>
                </c:pt>
                <c:pt idx="2">
                  <c:v>Other</c:v>
                </c:pt>
              </c:strCache>
            </c:strRef>
          </c:cat>
          <c:val>
            <c:numRef>
              <c:f>ecommerce_sales_data!$O$45:$O$48</c:f>
              <c:numCache>
                <c:formatCode>General</c:formatCode>
                <c:ptCount val="3"/>
                <c:pt idx="0">
                  <c:v>3229.66</c:v>
                </c:pt>
                <c:pt idx="1">
                  <c:v>346.74</c:v>
                </c:pt>
                <c:pt idx="2">
                  <c:v>1263.52</c:v>
                </c:pt>
              </c:numCache>
            </c:numRef>
          </c:val>
          <c:extLst>
            <c:ext xmlns:c16="http://schemas.microsoft.com/office/drawing/2014/chart" uri="{C3380CC4-5D6E-409C-BE32-E72D297353CC}">
              <c16:uniqueId val="{00000001-0202-4BE3-82E2-FB8D7A3B57C5}"/>
            </c:ext>
          </c:extLst>
        </c:ser>
        <c:ser>
          <c:idx val="2"/>
          <c:order val="2"/>
          <c:tx>
            <c:strRef>
              <c:f>ecommerce_sales_data!$P$43:$P$44</c:f>
              <c:strCache>
                <c:ptCount val="1"/>
                <c:pt idx="0">
                  <c:v>Credit Card</c:v>
                </c:pt>
              </c:strCache>
            </c:strRef>
          </c:tx>
          <c:spPr>
            <a:solidFill>
              <a:schemeClr val="accent3"/>
            </a:solidFill>
            <a:ln>
              <a:noFill/>
            </a:ln>
            <a:effectLst/>
          </c:spPr>
          <c:invertIfNegative val="0"/>
          <c:cat>
            <c:strRef>
              <c:f>ecommerce_sales_data!$M$45:$M$48</c:f>
              <c:strCache>
                <c:ptCount val="3"/>
                <c:pt idx="0">
                  <c:v>Female</c:v>
                </c:pt>
                <c:pt idx="1">
                  <c:v>Male</c:v>
                </c:pt>
                <c:pt idx="2">
                  <c:v>Other</c:v>
                </c:pt>
              </c:strCache>
            </c:strRef>
          </c:cat>
          <c:val>
            <c:numRef>
              <c:f>ecommerce_sales_data!$P$45:$P$48</c:f>
              <c:numCache>
                <c:formatCode>General</c:formatCode>
                <c:ptCount val="3"/>
                <c:pt idx="1">
                  <c:v>1283.5700000000002</c:v>
                </c:pt>
                <c:pt idx="2">
                  <c:v>1176.44</c:v>
                </c:pt>
              </c:numCache>
            </c:numRef>
          </c:val>
          <c:extLst>
            <c:ext xmlns:c16="http://schemas.microsoft.com/office/drawing/2014/chart" uri="{C3380CC4-5D6E-409C-BE32-E72D297353CC}">
              <c16:uniqueId val="{00000002-0202-4BE3-82E2-FB8D7A3B57C5}"/>
            </c:ext>
          </c:extLst>
        </c:ser>
        <c:ser>
          <c:idx val="3"/>
          <c:order val="3"/>
          <c:tx>
            <c:strRef>
              <c:f>ecommerce_sales_data!$Q$43:$Q$44</c:f>
              <c:strCache>
                <c:ptCount val="1"/>
                <c:pt idx="0">
                  <c:v>Debit Card</c:v>
                </c:pt>
              </c:strCache>
            </c:strRef>
          </c:tx>
          <c:spPr>
            <a:solidFill>
              <a:schemeClr val="accent4"/>
            </a:solidFill>
            <a:ln>
              <a:noFill/>
            </a:ln>
            <a:effectLst/>
          </c:spPr>
          <c:invertIfNegative val="0"/>
          <c:cat>
            <c:strRef>
              <c:f>ecommerce_sales_data!$M$45:$M$48</c:f>
              <c:strCache>
                <c:ptCount val="3"/>
                <c:pt idx="0">
                  <c:v>Female</c:v>
                </c:pt>
                <c:pt idx="1">
                  <c:v>Male</c:v>
                </c:pt>
                <c:pt idx="2">
                  <c:v>Other</c:v>
                </c:pt>
              </c:strCache>
            </c:strRef>
          </c:cat>
          <c:val>
            <c:numRef>
              <c:f>ecommerce_sales_data!$Q$45:$Q$48</c:f>
              <c:numCache>
                <c:formatCode>General</c:formatCode>
                <c:ptCount val="3"/>
                <c:pt idx="0">
                  <c:v>654.34</c:v>
                </c:pt>
                <c:pt idx="1">
                  <c:v>559.1</c:v>
                </c:pt>
                <c:pt idx="2">
                  <c:v>1267.23</c:v>
                </c:pt>
              </c:numCache>
            </c:numRef>
          </c:val>
          <c:extLst>
            <c:ext xmlns:c16="http://schemas.microsoft.com/office/drawing/2014/chart" uri="{C3380CC4-5D6E-409C-BE32-E72D297353CC}">
              <c16:uniqueId val="{00000003-0202-4BE3-82E2-FB8D7A3B57C5}"/>
            </c:ext>
          </c:extLst>
        </c:ser>
        <c:ser>
          <c:idx val="4"/>
          <c:order val="4"/>
          <c:tx>
            <c:strRef>
              <c:f>ecommerce_sales_data!$R$43:$R$44</c:f>
              <c:strCache>
                <c:ptCount val="1"/>
                <c:pt idx="0">
                  <c:v>PayPal</c:v>
                </c:pt>
              </c:strCache>
            </c:strRef>
          </c:tx>
          <c:spPr>
            <a:solidFill>
              <a:schemeClr val="accent5"/>
            </a:solidFill>
            <a:ln>
              <a:noFill/>
            </a:ln>
            <a:effectLst/>
          </c:spPr>
          <c:invertIfNegative val="0"/>
          <c:cat>
            <c:strRef>
              <c:f>ecommerce_sales_data!$M$45:$M$48</c:f>
              <c:strCache>
                <c:ptCount val="3"/>
                <c:pt idx="0">
                  <c:v>Female</c:v>
                </c:pt>
                <c:pt idx="1">
                  <c:v>Male</c:v>
                </c:pt>
                <c:pt idx="2">
                  <c:v>Other</c:v>
                </c:pt>
              </c:strCache>
            </c:strRef>
          </c:cat>
          <c:val>
            <c:numRef>
              <c:f>ecommerce_sales_data!$R$45:$R$48</c:f>
              <c:numCache>
                <c:formatCode>General</c:formatCode>
                <c:ptCount val="3"/>
                <c:pt idx="0">
                  <c:v>6.58</c:v>
                </c:pt>
                <c:pt idx="1">
                  <c:v>954.41</c:v>
                </c:pt>
                <c:pt idx="2">
                  <c:v>439.07</c:v>
                </c:pt>
              </c:numCache>
            </c:numRef>
          </c:val>
          <c:extLst>
            <c:ext xmlns:c16="http://schemas.microsoft.com/office/drawing/2014/chart" uri="{C3380CC4-5D6E-409C-BE32-E72D297353CC}">
              <c16:uniqueId val="{0000000A-0202-4BE3-82E2-FB8D7A3B57C5}"/>
            </c:ext>
          </c:extLst>
        </c:ser>
        <c:dLbls>
          <c:showLegendKey val="0"/>
          <c:showVal val="0"/>
          <c:showCatName val="0"/>
          <c:showSerName val="0"/>
          <c:showPercent val="0"/>
          <c:showBubbleSize val="0"/>
        </c:dLbls>
        <c:gapWidth val="219"/>
        <c:overlap val="-27"/>
        <c:axId val="1059450367"/>
        <c:axId val="1059453247"/>
      </c:barChart>
      <c:catAx>
        <c:axId val="1059450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9453247"/>
        <c:crosses val="autoZero"/>
        <c:auto val="1"/>
        <c:lblAlgn val="ctr"/>
        <c:lblOffset val="100"/>
        <c:noMultiLvlLbl val="0"/>
      </c:catAx>
      <c:valAx>
        <c:axId val="10594532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94503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[ecommerce_sales_data(dashboard).xlsx]Sheet6!PivotTable29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Sum of Price by PaymentMethod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Sheet6!$B$3</c:f>
              <c:strCache>
                <c:ptCount val="1"/>
                <c:pt idx="0">
                  <c:v>Total</c:v>
                </c:pt>
              </c:strCache>
            </c:strRef>
          </c:tx>
          <c:spPr>
            <a:solidFill>
              <a:schemeClr val="accent2"/>
            </a:solidFill>
            <a:ln>
              <a:noFill/>
            </a:ln>
            <a:effectLst/>
          </c:spPr>
          <c:invertIfNegative val="0"/>
          <c:cat>
            <c:strRef>
              <c:f>Sheet6!$A$4:$A$8</c:f>
              <c:strCache>
                <c:ptCount val="5"/>
                <c:pt idx="0">
                  <c:v>Bank Transfer</c:v>
                </c:pt>
                <c:pt idx="1">
                  <c:v>Cash on Delivery</c:v>
                </c:pt>
                <c:pt idx="2">
                  <c:v>Credit Card</c:v>
                </c:pt>
                <c:pt idx="3">
                  <c:v>Debit Card</c:v>
                </c:pt>
                <c:pt idx="4">
                  <c:v>PayPal</c:v>
                </c:pt>
              </c:strCache>
            </c:strRef>
          </c:cat>
          <c:val>
            <c:numRef>
              <c:f>Sheet6!$B$4:$B$8</c:f>
              <c:numCache>
                <c:formatCode>General</c:formatCode>
                <c:ptCount val="5"/>
                <c:pt idx="0">
                  <c:v>1934.9099999999999</c:v>
                </c:pt>
                <c:pt idx="1">
                  <c:v>4839.92</c:v>
                </c:pt>
                <c:pt idx="2">
                  <c:v>2460.0099999999998</c:v>
                </c:pt>
                <c:pt idx="3">
                  <c:v>2480.67</c:v>
                </c:pt>
                <c:pt idx="4">
                  <c:v>1400.06</c:v>
                </c:pt>
              </c:numCache>
            </c:numRef>
          </c:val>
          <c:extLst>
            <c:ext xmlns:c16="http://schemas.microsoft.com/office/drawing/2014/chart" uri="{C3380CC4-5D6E-409C-BE32-E72D297353CC}">
              <c16:uniqueId val="{00000000-1B65-4D57-A9D6-CFBC53D31847}"/>
            </c:ext>
          </c:extLst>
        </c:ser>
        <c:dLbls>
          <c:showLegendKey val="0"/>
          <c:showVal val="0"/>
          <c:showCatName val="0"/>
          <c:showSerName val="0"/>
          <c:showPercent val="0"/>
          <c:showBubbleSize val="0"/>
        </c:dLbls>
        <c:gapWidth val="182"/>
        <c:axId val="947089456"/>
        <c:axId val="947090896"/>
      </c:barChart>
      <c:catAx>
        <c:axId val="9470894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7090896"/>
        <c:crosses val="autoZero"/>
        <c:auto val="1"/>
        <c:lblAlgn val="ctr"/>
        <c:lblOffset val="100"/>
        <c:noMultiLvlLbl val="0"/>
      </c:catAx>
      <c:valAx>
        <c:axId val="9470908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7089456"/>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ecommerce_sales_data!$O$1</c:f>
              <c:strCache>
                <c:ptCount val="1"/>
                <c:pt idx="0">
                  <c:v>Quantity</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multiLvlStrRef>
              <c:f>ecommerce_sales_data!$A$2:$N$31</c:f>
              <c:multiLvlStrCache>
                <c:ptCount val="30"/>
                <c:lvl>
                  <c:pt idx="0">
                    <c:v>83.36</c:v>
                  </c:pt>
                  <c:pt idx="1">
                    <c:v>58.88</c:v>
                  </c:pt>
                  <c:pt idx="2">
                    <c:v>53.99</c:v>
                  </c:pt>
                  <c:pt idx="3">
                    <c:v>11.73</c:v>
                  </c:pt>
                  <c:pt idx="4">
                    <c:v>34.79</c:v>
                  </c:pt>
                  <c:pt idx="5">
                    <c:v>25.78</c:v>
                  </c:pt>
                  <c:pt idx="6">
                    <c:v>68.36</c:v>
                  </c:pt>
                  <c:pt idx="7">
                    <c:v>19.23</c:v>
                  </c:pt>
                  <c:pt idx="8">
                    <c:v>28.61</c:v>
                  </c:pt>
                  <c:pt idx="9">
                    <c:v>35.18</c:v>
                  </c:pt>
                  <c:pt idx="10">
                    <c:v>76.82</c:v>
                  </c:pt>
                  <c:pt idx="11">
                    <c:v>26.24</c:v>
                  </c:pt>
                  <c:pt idx="12">
                    <c:v>39.91</c:v>
                  </c:pt>
                  <c:pt idx="13">
                    <c:v>69.39</c:v>
                  </c:pt>
                  <c:pt idx="14">
                    <c:v>10.33</c:v>
                  </c:pt>
                  <c:pt idx="15">
                    <c:v>41.77</c:v>
                  </c:pt>
                  <c:pt idx="16">
                    <c:v>9.93</c:v>
                  </c:pt>
                  <c:pt idx="17">
                    <c:v>97.73</c:v>
                  </c:pt>
                  <c:pt idx="18">
                    <c:v>54.32</c:v>
                  </c:pt>
                  <c:pt idx="19">
                    <c:v>57.35</c:v>
                  </c:pt>
                  <c:pt idx="20">
                    <c:v>41.08</c:v>
                  </c:pt>
                  <c:pt idx="21">
                    <c:v>88.02</c:v>
                  </c:pt>
                  <c:pt idx="22">
                    <c:v>67.51</c:v>
                  </c:pt>
                  <c:pt idx="23">
                    <c:v>18.76</c:v>
                  </c:pt>
                  <c:pt idx="24">
                    <c:v>33.4</c:v>
                  </c:pt>
                  <c:pt idx="25">
                    <c:v>21.91</c:v>
                  </c:pt>
                  <c:pt idx="26">
                    <c:v>81.49</c:v>
                  </c:pt>
                  <c:pt idx="27">
                    <c:v>77.27</c:v>
                  </c:pt>
                  <c:pt idx="28">
                    <c:v>26.78</c:v>
                  </c:pt>
                  <c:pt idx="29">
                    <c:v>39.34</c:v>
                  </c:pt>
                </c:lvl>
                <c:lvl>
                  <c:pt idx="0">
                    <c:v>Medium</c:v>
                  </c:pt>
                  <c:pt idx="1">
                    <c:v>High</c:v>
                  </c:pt>
                  <c:pt idx="2">
                    <c:v>High</c:v>
                  </c:pt>
                  <c:pt idx="3">
                    <c:v>Low</c:v>
                  </c:pt>
                  <c:pt idx="4">
                    <c:v>High</c:v>
                  </c:pt>
                  <c:pt idx="5">
                    <c:v>High</c:v>
                  </c:pt>
                  <c:pt idx="6">
                    <c:v>Low</c:v>
                  </c:pt>
                  <c:pt idx="7">
                    <c:v>High</c:v>
                  </c:pt>
                  <c:pt idx="8">
                    <c:v>Low</c:v>
                  </c:pt>
                  <c:pt idx="9">
                    <c:v>Low</c:v>
                  </c:pt>
                  <c:pt idx="10">
                    <c:v>Low</c:v>
                  </c:pt>
                  <c:pt idx="11">
                    <c:v>High</c:v>
                  </c:pt>
                  <c:pt idx="12">
                    <c:v>Low</c:v>
                  </c:pt>
                  <c:pt idx="13">
                    <c:v>Low</c:v>
                  </c:pt>
                  <c:pt idx="14">
                    <c:v>High</c:v>
                  </c:pt>
                  <c:pt idx="15">
                    <c:v>Low</c:v>
                  </c:pt>
                  <c:pt idx="16">
                    <c:v>Medium</c:v>
                  </c:pt>
                  <c:pt idx="17">
                    <c:v>Medium</c:v>
                  </c:pt>
                  <c:pt idx="18">
                    <c:v>Low</c:v>
                  </c:pt>
                  <c:pt idx="19">
                    <c:v>Low</c:v>
                  </c:pt>
                  <c:pt idx="20">
                    <c:v>Medium</c:v>
                  </c:pt>
                  <c:pt idx="21">
                    <c:v>Medium</c:v>
                  </c:pt>
                  <c:pt idx="22">
                    <c:v>Medium</c:v>
                  </c:pt>
                  <c:pt idx="23">
                    <c:v>High</c:v>
                  </c:pt>
                  <c:pt idx="24">
                    <c:v>High</c:v>
                  </c:pt>
                  <c:pt idx="25">
                    <c:v>Low</c:v>
                  </c:pt>
                  <c:pt idx="26">
                    <c:v>Low</c:v>
                  </c:pt>
                  <c:pt idx="27">
                    <c:v>Low</c:v>
                  </c:pt>
                  <c:pt idx="28">
                    <c:v>High</c:v>
                  </c:pt>
                  <c:pt idx="29">
                    <c:v>Low</c:v>
                  </c:pt>
                </c:lvl>
                <c:lvl>
                  <c:pt idx="0">
                    <c:v>Female</c:v>
                  </c:pt>
                  <c:pt idx="1">
                    <c:v>Other</c:v>
                  </c:pt>
                  <c:pt idx="2">
                    <c:v>Female</c:v>
                  </c:pt>
                  <c:pt idx="3">
                    <c:v>Female</c:v>
                  </c:pt>
                  <c:pt idx="4">
                    <c:v>Other</c:v>
                  </c:pt>
                  <c:pt idx="5">
                    <c:v>Male</c:v>
                  </c:pt>
                  <c:pt idx="6">
                    <c:v>Male</c:v>
                  </c:pt>
                  <c:pt idx="7">
                    <c:v>Female</c:v>
                  </c:pt>
                  <c:pt idx="8">
                    <c:v>Male</c:v>
                  </c:pt>
                  <c:pt idx="9">
                    <c:v>Female</c:v>
                  </c:pt>
                  <c:pt idx="10">
                    <c:v>Other</c:v>
                  </c:pt>
                  <c:pt idx="11">
                    <c:v>Other</c:v>
                  </c:pt>
                  <c:pt idx="12">
                    <c:v>Other</c:v>
                  </c:pt>
                  <c:pt idx="13">
                    <c:v>Male</c:v>
                  </c:pt>
                  <c:pt idx="14">
                    <c:v>Other</c:v>
                  </c:pt>
                  <c:pt idx="15">
                    <c:v>Other</c:v>
                  </c:pt>
                  <c:pt idx="16">
                    <c:v>Other</c:v>
                  </c:pt>
                  <c:pt idx="17">
                    <c:v>Other</c:v>
                  </c:pt>
                  <c:pt idx="18">
                    <c:v>Female</c:v>
                  </c:pt>
                  <c:pt idx="19">
                    <c:v>Other</c:v>
                  </c:pt>
                  <c:pt idx="20">
                    <c:v>Male</c:v>
                  </c:pt>
                  <c:pt idx="21">
                    <c:v>Female</c:v>
                  </c:pt>
                  <c:pt idx="22">
                    <c:v>Other</c:v>
                  </c:pt>
                  <c:pt idx="23">
                    <c:v>Female</c:v>
                  </c:pt>
                  <c:pt idx="24">
                    <c:v>Male</c:v>
                  </c:pt>
                  <c:pt idx="25">
                    <c:v>Male</c:v>
                  </c:pt>
                  <c:pt idx="26">
                    <c:v>Male</c:v>
                  </c:pt>
                  <c:pt idx="27">
                    <c:v>Male</c:v>
                  </c:pt>
                  <c:pt idx="28">
                    <c:v>Other</c:v>
                  </c:pt>
                  <c:pt idx="29">
                    <c:v>Female</c:v>
                  </c:pt>
                </c:lvl>
                <c:lvl>
                  <c:pt idx="0">
                    <c:v>46</c:v>
                  </c:pt>
                  <c:pt idx="1">
                    <c:v>59</c:v>
                  </c:pt>
                  <c:pt idx="2">
                    <c:v>61</c:v>
                  </c:pt>
                  <c:pt idx="3">
                    <c:v>69</c:v>
                  </c:pt>
                  <c:pt idx="4">
                    <c:v>29</c:v>
                  </c:pt>
                  <c:pt idx="5">
                    <c:v>60</c:v>
                  </c:pt>
                  <c:pt idx="6">
                    <c:v>69</c:v>
                  </c:pt>
                  <c:pt idx="7">
                    <c:v>45</c:v>
                  </c:pt>
                  <c:pt idx="8">
                    <c:v>37</c:v>
                  </c:pt>
                  <c:pt idx="9">
                    <c:v>67</c:v>
                  </c:pt>
                  <c:pt idx="10">
                    <c:v>36</c:v>
                  </c:pt>
                  <c:pt idx="11">
                    <c:v>61</c:v>
                  </c:pt>
                  <c:pt idx="12">
                    <c:v>65</c:v>
                  </c:pt>
                  <c:pt idx="13">
                    <c:v>35</c:v>
                  </c:pt>
                  <c:pt idx="14">
                    <c:v>20</c:v>
                  </c:pt>
                  <c:pt idx="15">
                    <c:v>46</c:v>
                  </c:pt>
                  <c:pt idx="16">
                    <c:v>21</c:v>
                  </c:pt>
                  <c:pt idx="17">
                    <c:v>23</c:v>
                  </c:pt>
                  <c:pt idx="18">
                    <c:v>52</c:v>
                  </c:pt>
                  <c:pt idx="19">
                    <c:v>46</c:v>
                  </c:pt>
                  <c:pt idx="20">
                    <c:v>60</c:v>
                  </c:pt>
                  <c:pt idx="21">
                    <c:v>54</c:v>
                  </c:pt>
                  <c:pt idx="22">
                    <c:v>29</c:v>
                  </c:pt>
                  <c:pt idx="23">
                    <c:v>45</c:v>
                  </c:pt>
                  <c:pt idx="24">
                    <c:v>38</c:v>
                  </c:pt>
                  <c:pt idx="25">
                    <c:v>52</c:v>
                  </c:pt>
                  <c:pt idx="26">
                    <c:v>66</c:v>
                  </c:pt>
                  <c:pt idx="27">
                    <c:v>34</c:v>
                  </c:pt>
                  <c:pt idx="28">
                    <c:v>52</c:v>
                  </c:pt>
                  <c:pt idx="29">
                    <c:v>68</c:v>
                  </c:pt>
                </c:lvl>
                <c:lvl>
                  <c:pt idx="0">
                    <c:v>New Juan</c:v>
                  </c:pt>
                  <c:pt idx="1">
                    <c:v>South Julie</c:v>
                  </c:pt>
                  <c:pt idx="2">
                    <c:v>West Carrieview</c:v>
                  </c:pt>
                  <c:pt idx="3">
                    <c:v>Christianberg</c:v>
                  </c:pt>
                  <c:pt idx="4">
                    <c:v>South Williamhaven</c:v>
                  </c:pt>
                  <c:pt idx="5">
                    <c:v>Stephenfort</c:v>
                  </c:pt>
                  <c:pt idx="6">
                    <c:v>North Terristad</c:v>
                  </c:pt>
                  <c:pt idx="7">
                    <c:v>Pachecotown</c:v>
                  </c:pt>
                  <c:pt idx="8">
                    <c:v>Port Philipberg</c:v>
                  </c:pt>
                  <c:pt idx="9">
                    <c:v>Jenniferfurt</c:v>
                  </c:pt>
                  <c:pt idx="10">
                    <c:v>Lake Carolyn</c:v>
                  </c:pt>
                  <c:pt idx="11">
                    <c:v>Amandaborough</c:v>
                  </c:pt>
                  <c:pt idx="12">
                    <c:v>South Maria</c:v>
                  </c:pt>
                  <c:pt idx="13">
                    <c:v>West Marissa</c:v>
                  </c:pt>
                  <c:pt idx="14">
                    <c:v>Austinburgh</c:v>
                  </c:pt>
                  <c:pt idx="15">
                    <c:v>Lake Jesse</c:v>
                  </c:pt>
                  <c:pt idx="16">
                    <c:v>Marioburgh</c:v>
                  </c:pt>
                  <c:pt idx="17">
                    <c:v>Ryanhaven</c:v>
                  </c:pt>
                  <c:pt idx="18">
                    <c:v>Dickersonmouth</c:v>
                  </c:pt>
                  <c:pt idx="19">
                    <c:v>Annaborough</c:v>
                  </c:pt>
                  <c:pt idx="20">
                    <c:v>Ramirezburgh</c:v>
                  </c:pt>
                  <c:pt idx="21">
                    <c:v>Sextonberg</c:v>
                  </c:pt>
                  <c:pt idx="22">
                    <c:v>Beasleyshire</c:v>
                  </c:pt>
                  <c:pt idx="23">
                    <c:v>Lake Brittneyland</c:v>
                  </c:pt>
                  <c:pt idx="24">
                    <c:v>South John</c:v>
                  </c:pt>
                  <c:pt idx="25">
                    <c:v>New Devin</c:v>
                  </c:pt>
                  <c:pt idx="26">
                    <c:v>Lake Denise</c:v>
                  </c:pt>
                  <c:pt idx="27">
                    <c:v>South Susan</c:v>
                  </c:pt>
                  <c:pt idx="28">
                    <c:v>Johnsonchester</c:v>
                  </c:pt>
                  <c:pt idx="29">
                    <c:v>Martinberg</c:v>
                  </c:pt>
                </c:lvl>
                <c:lvl>
                  <c:pt idx="0">
                    <c:v>22-12-2023 10:35</c:v>
                  </c:pt>
                  <c:pt idx="1">
                    <c:v>05-05-2024 10:40</c:v>
                  </c:pt>
                  <c:pt idx="2">
                    <c:v>04-12-2023 05:22</c:v>
                  </c:pt>
                  <c:pt idx="3">
                    <c:v>02-01-2024 11:11</c:v>
                  </c:pt>
                  <c:pt idx="4">
                    <c:v>18-06-2024 01:01</c:v>
                  </c:pt>
                  <c:pt idx="5">
                    <c:v>06-03-2024 06:15</c:v>
                  </c:pt>
                  <c:pt idx="6">
                    <c:v>15-10-2023 13:30</c:v>
                  </c:pt>
                  <c:pt idx="7">
                    <c:v>16-05-2024 01:46</c:v>
                  </c:pt>
                  <c:pt idx="8">
                    <c:v>04-08-2024 17:13</c:v>
                  </c:pt>
                  <c:pt idx="9">
                    <c:v>18-12-2023 18:38</c:v>
                  </c:pt>
                  <c:pt idx="10">
                    <c:v>26-05-2024 02:56</c:v>
                  </c:pt>
                  <c:pt idx="11">
                    <c:v>26-09-2023 05:18</c:v>
                  </c:pt>
                  <c:pt idx="12">
                    <c:v>13-12-2023 23:53</c:v>
                  </c:pt>
                  <c:pt idx="13">
                    <c:v>02-12-2023 07:44</c:v>
                  </c:pt>
                  <c:pt idx="14">
                    <c:v>01-03-2024 17:49</c:v>
                  </c:pt>
                  <c:pt idx="15">
                    <c:v>12-08-2024 12:13</c:v>
                  </c:pt>
                  <c:pt idx="16">
                    <c:v>24-07-2024 08:49</c:v>
                  </c:pt>
                  <c:pt idx="17">
                    <c:v>14-06-2024 18:03</c:v>
                  </c:pt>
                  <c:pt idx="18">
                    <c:v>02-03-2024 05:18</c:v>
                  </c:pt>
                  <c:pt idx="19">
                    <c:v>19-05-2024 13:22</c:v>
                  </c:pt>
                  <c:pt idx="20">
                    <c:v>13-05-2024 10:04</c:v>
                  </c:pt>
                  <c:pt idx="21">
                    <c:v>05-04-2024 20:50</c:v>
                  </c:pt>
                  <c:pt idx="22">
                    <c:v>17-11-2023 05:30</c:v>
                  </c:pt>
                  <c:pt idx="23">
                    <c:v>05-08-2024 14:07</c:v>
                  </c:pt>
                  <c:pt idx="24">
                    <c:v>24-02-2024 01:14</c:v>
                  </c:pt>
                  <c:pt idx="25">
                    <c:v>04-03-2024 09:18</c:v>
                  </c:pt>
                  <c:pt idx="26">
                    <c:v>26-10-2023 07:12</c:v>
                  </c:pt>
                  <c:pt idx="27">
                    <c:v>04-08-2024 12:39</c:v>
                  </c:pt>
                  <c:pt idx="28">
                    <c:v>06-05-2024 01:39</c:v>
                  </c:pt>
                  <c:pt idx="29">
                    <c:v>23-10-2023 11:34</c:v>
                  </c:pt>
                </c:lvl>
                <c:lvl>
                  <c:pt idx="0">
                    <c:v>0.13</c:v>
                  </c:pt>
                  <c:pt idx="1">
                    <c:v>0.06</c:v>
                  </c:pt>
                  <c:pt idx="2">
                    <c:v>0.24</c:v>
                  </c:pt>
                  <c:pt idx="3">
                    <c:v>0.01</c:v>
                  </c:pt>
                  <c:pt idx="4">
                    <c:v>0.14</c:v>
                  </c:pt>
                  <c:pt idx="5">
                    <c:v>0.18</c:v>
                  </c:pt>
                  <c:pt idx="6">
                    <c:v>0.09</c:v>
                  </c:pt>
                  <c:pt idx="7">
                    <c:v>0.29</c:v>
                  </c:pt>
                  <c:pt idx="8">
                    <c:v>0.12</c:v>
                  </c:pt>
                  <c:pt idx="9">
                    <c:v>0.23</c:v>
                  </c:pt>
                  <c:pt idx="10">
                    <c:v>0.06</c:v>
                  </c:pt>
                  <c:pt idx="11">
                    <c:v>0.05</c:v>
                  </c:pt>
                  <c:pt idx="12">
                    <c:v>0.25</c:v>
                  </c:pt>
                  <c:pt idx="13">
                    <c:v>0.15</c:v>
                  </c:pt>
                  <c:pt idx="14">
                    <c:v>0.26</c:v>
                  </c:pt>
                  <c:pt idx="15">
                    <c:v>0.22</c:v>
                  </c:pt>
                  <c:pt idx="16">
                    <c:v>0.19</c:v>
                  </c:pt>
                  <c:pt idx="17">
                    <c:v>0.26</c:v>
                  </c:pt>
                  <c:pt idx="18">
                    <c:v>0.12</c:v>
                  </c:pt>
                  <c:pt idx="19">
                    <c:v>0.28</c:v>
                  </c:pt>
                  <c:pt idx="20">
                    <c:v>0.04</c:v>
                  </c:pt>
                  <c:pt idx="21">
                    <c:v>0.04</c:v>
                  </c:pt>
                  <c:pt idx="22">
                    <c:v>0.04</c:v>
                  </c:pt>
                  <c:pt idx="23">
                    <c:v>0.15</c:v>
                  </c:pt>
                  <c:pt idx="24">
                    <c:v>0.28</c:v>
                  </c:pt>
                  <c:pt idx="25">
                    <c:v>0.2</c:v>
                  </c:pt>
                  <c:pt idx="26">
                    <c:v>0.11</c:v>
                  </c:pt>
                  <c:pt idx="27">
                    <c:v>0.05</c:v>
                  </c:pt>
                  <c:pt idx="28">
                    <c:v>0.11</c:v>
                  </c:pt>
                  <c:pt idx="29">
                    <c:v>0.01</c:v>
                  </c:pt>
                </c:lvl>
                <c:lvl>
                  <c:pt idx="0">
                    <c:v>801.66</c:v>
                  </c:pt>
                  <c:pt idx="1">
                    <c:v>225.03</c:v>
                  </c:pt>
                  <c:pt idx="2">
                    <c:v>544.99</c:v>
                  </c:pt>
                  <c:pt idx="3">
                    <c:v>157.02</c:v>
                  </c:pt>
                  <c:pt idx="4">
                    <c:v>155.51</c:v>
                  </c:pt>
                  <c:pt idx="5">
                    <c:v>225.65</c:v>
                  </c:pt>
                  <c:pt idx="6">
                    <c:v>631.96</c:v>
                  </c:pt>
                  <c:pt idx="7">
                    <c:v>522.87</c:v>
                  </c:pt>
                  <c:pt idx="8">
                    <c:v>202.66</c:v>
                  </c:pt>
                  <c:pt idx="9">
                    <c:v>401.52</c:v>
                  </c:pt>
                  <c:pt idx="10">
                    <c:v>346.31</c:v>
                  </c:pt>
                  <c:pt idx="11">
                    <c:v>434.15</c:v>
                  </c:pt>
                  <c:pt idx="12">
                    <c:v>189.87</c:v>
                  </c:pt>
                  <c:pt idx="13">
                    <c:v>559.1</c:v>
                  </c:pt>
                  <c:pt idx="14">
                    <c:v>29.01</c:v>
                  </c:pt>
                  <c:pt idx="15">
                    <c:v>541.5</c:v>
                  </c:pt>
                  <c:pt idx="16">
                    <c:v>218.68</c:v>
                  </c:pt>
                  <c:pt idx="17">
                    <c:v>439.07</c:v>
                  </c:pt>
                  <c:pt idx="18">
                    <c:v>849.82</c:v>
                  </c:pt>
                  <c:pt idx="19">
                    <c:v>886.69</c:v>
                  </c:pt>
                  <c:pt idx="20">
                    <c:v>137.79</c:v>
                  </c:pt>
                  <c:pt idx="21">
                    <c:v>6.58</c:v>
                  </c:pt>
                  <c:pt idx="22">
                    <c:v>888.2</c:v>
                  </c:pt>
                  <c:pt idx="23">
                    <c:v>109.35</c:v>
                  </c:pt>
                  <c:pt idx="24">
                    <c:v>144.08</c:v>
                  </c:pt>
                  <c:pt idx="25">
                    <c:v>576.59</c:v>
                  </c:pt>
                  <c:pt idx="26">
                    <c:v>954.41</c:v>
                  </c:pt>
                  <c:pt idx="27">
                    <c:v>513.82</c:v>
                  </c:pt>
                  <c:pt idx="28">
                    <c:v>767.89</c:v>
                  </c:pt>
                  <c:pt idx="29">
                    <c:v>653.79</c:v>
                  </c:pt>
                </c:lvl>
                <c:lvl>
                  <c:pt idx="0">
                    <c:v>Cash on Delivery</c:v>
                  </c:pt>
                  <c:pt idx="1">
                    <c:v>Debit Card</c:v>
                  </c:pt>
                  <c:pt idx="2">
                    <c:v>Debit Card</c:v>
                  </c:pt>
                  <c:pt idx="3">
                    <c:v>Bank Transfer</c:v>
                  </c:pt>
                  <c:pt idx="4">
                    <c:v>Debit Card</c:v>
                  </c:pt>
                  <c:pt idx="5">
                    <c:v>Bank Transfer</c:v>
                  </c:pt>
                  <c:pt idx="6">
                    <c:v>Credit Card</c:v>
                  </c:pt>
                  <c:pt idx="7">
                    <c:v>Cash on Delivery</c:v>
                  </c:pt>
                  <c:pt idx="8">
                    <c:v>Cash on Delivery</c:v>
                  </c:pt>
                  <c:pt idx="9">
                    <c:v>Cash on Delivery</c:v>
                  </c:pt>
                  <c:pt idx="10">
                    <c:v>Cash on Delivery</c:v>
                  </c:pt>
                  <c:pt idx="11">
                    <c:v>Bank Transfer</c:v>
                  </c:pt>
                  <c:pt idx="12">
                    <c:v>Credit Card</c:v>
                  </c:pt>
                  <c:pt idx="13">
                    <c:v>Debit Card</c:v>
                  </c:pt>
                  <c:pt idx="14">
                    <c:v>Cash on Delivery</c:v>
                  </c:pt>
                  <c:pt idx="15">
                    <c:v>Bank Transfer</c:v>
                  </c:pt>
                  <c:pt idx="16">
                    <c:v>Credit Card</c:v>
                  </c:pt>
                  <c:pt idx="17">
                    <c:v>PayPal</c:v>
                  </c:pt>
                  <c:pt idx="18">
                    <c:v>Cash on Delivery</c:v>
                  </c:pt>
                  <c:pt idx="19">
                    <c:v>Debit Card</c:v>
                  </c:pt>
                  <c:pt idx="20">
                    <c:v>Credit Card</c:v>
                  </c:pt>
                  <c:pt idx="21">
                    <c:v>PayPal</c:v>
                  </c:pt>
                  <c:pt idx="22">
                    <c:v>Cash on Delivery</c:v>
                  </c:pt>
                  <c:pt idx="23">
                    <c:v>Debit Card</c:v>
                  </c:pt>
                  <c:pt idx="24">
                    <c:v>Cash on Delivery</c:v>
                  </c:pt>
                  <c:pt idx="25">
                    <c:v>Bank Transfer</c:v>
                  </c:pt>
                  <c:pt idx="26">
                    <c:v>PayPal</c:v>
                  </c:pt>
                  <c:pt idx="27">
                    <c:v>Credit Card</c:v>
                  </c:pt>
                  <c:pt idx="28">
                    <c:v>Credit Card</c:v>
                  </c:pt>
                  <c:pt idx="29">
                    <c:v>Cash on Delivery</c:v>
                  </c:pt>
                </c:lvl>
                <c:lvl>
                  <c:pt idx="0">
                    <c:v>Clothing</c:v>
                  </c:pt>
                  <c:pt idx="1">
                    <c:v>Beauty</c:v>
                  </c:pt>
                  <c:pt idx="2">
                    <c:v>Toys</c:v>
                  </c:pt>
                  <c:pt idx="3">
                    <c:v>Beauty</c:v>
                  </c:pt>
                  <c:pt idx="4">
                    <c:v>Electronics</c:v>
                  </c:pt>
                  <c:pt idx="5">
                    <c:v>Books</c:v>
                  </c:pt>
                  <c:pt idx="6">
                    <c:v>Beauty</c:v>
                  </c:pt>
                  <c:pt idx="7">
                    <c:v>Sports</c:v>
                  </c:pt>
                  <c:pt idx="8">
                    <c:v>Books</c:v>
                  </c:pt>
                  <c:pt idx="9">
                    <c:v>Toys</c:v>
                  </c:pt>
                  <c:pt idx="10">
                    <c:v>Clothing</c:v>
                  </c:pt>
                  <c:pt idx="11">
                    <c:v>Sports</c:v>
                  </c:pt>
                  <c:pt idx="12">
                    <c:v>Electronics</c:v>
                  </c:pt>
                  <c:pt idx="13">
                    <c:v>Home &amp; Kitchen</c:v>
                  </c:pt>
                  <c:pt idx="14">
                    <c:v>Toys</c:v>
                  </c:pt>
                  <c:pt idx="15">
                    <c:v>Toys</c:v>
                  </c:pt>
                  <c:pt idx="16">
                    <c:v>Beauty</c:v>
                  </c:pt>
                  <c:pt idx="17">
                    <c:v>Clothing</c:v>
                  </c:pt>
                  <c:pt idx="18">
                    <c:v>Books</c:v>
                  </c:pt>
                  <c:pt idx="19">
                    <c:v>Electronics</c:v>
                  </c:pt>
                  <c:pt idx="20">
                    <c:v>Toys</c:v>
                  </c:pt>
                  <c:pt idx="21">
                    <c:v>Electronics</c:v>
                  </c:pt>
                  <c:pt idx="22">
                    <c:v>Toys</c:v>
                  </c:pt>
                  <c:pt idx="23">
                    <c:v>Toys</c:v>
                  </c:pt>
                  <c:pt idx="24">
                    <c:v>Electronics</c:v>
                  </c:pt>
                  <c:pt idx="25">
                    <c:v>Sports</c:v>
                  </c:pt>
                  <c:pt idx="26">
                    <c:v>Electronics</c:v>
                  </c:pt>
                  <c:pt idx="27">
                    <c:v>Home &amp; Kitchen</c:v>
                  </c:pt>
                  <c:pt idx="28">
                    <c:v>Sports</c:v>
                  </c:pt>
                  <c:pt idx="29">
                    <c:v>Beauty</c:v>
                  </c:pt>
                </c:lvl>
                <c:lvl>
                  <c:pt idx="0">
                    <c:v>295</c:v>
                  </c:pt>
                  <c:pt idx="1">
                    <c:v>546</c:v>
                  </c:pt>
                  <c:pt idx="2">
                    <c:v>430</c:v>
                  </c:pt>
                  <c:pt idx="3">
                    <c:v>807</c:v>
                  </c:pt>
                  <c:pt idx="4">
                    <c:v>319</c:v>
                  </c:pt>
                  <c:pt idx="5">
                    <c:v>282</c:v>
                  </c:pt>
                  <c:pt idx="6">
                    <c:v>276</c:v>
                  </c:pt>
                  <c:pt idx="7">
                    <c:v>574</c:v>
                  </c:pt>
                  <c:pt idx="8">
                    <c:v>948</c:v>
                  </c:pt>
                  <c:pt idx="9">
                    <c:v>459</c:v>
                  </c:pt>
                  <c:pt idx="10">
                    <c:v>745</c:v>
                  </c:pt>
                  <c:pt idx="11">
                    <c:v>564</c:v>
                  </c:pt>
                  <c:pt idx="12">
                    <c:v>334</c:v>
                  </c:pt>
                  <c:pt idx="13">
                    <c:v>536</c:v>
                  </c:pt>
                  <c:pt idx="14">
                    <c:v>239</c:v>
                  </c:pt>
                  <c:pt idx="15">
                    <c:v>587</c:v>
                  </c:pt>
                  <c:pt idx="16">
                    <c:v>868</c:v>
                  </c:pt>
                  <c:pt idx="17">
                    <c:v>384</c:v>
                  </c:pt>
                  <c:pt idx="18">
                    <c:v>701</c:v>
                  </c:pt>
                  <c:pt idx="19">
                    <c:v>427</c:v>
                  </c:pt>
                  <c:pt idx="20">
                    <c:v>150</c:v>
                  </c:pt>
                  <c:pt idx="21">
                    <c:v>797</c:v>
                  </c:pt>
                  <c:pt idx="22">
                    <c:v>577</c:v>
                  </c:pt>
                  <c:pt idx="23">
                    <c:v>385</c:v>
                  </c:pt>
                  <c:pt idx="24">
                    <c:v>419</c:v>
                  </c:pt>
                  <c:pt idx="25">
                    <c:v>733</c:v>
                  </c:pt>
                  <c:pt idx="26">
                    <c:v>278</c:v>
                  </c:pt>
                  <c:pt idx="27">
                    <c:v>231</c:v>
                  </c:pt>
                  <c:pt idx="28">
                    <c:v>699</c:v>
                  </c:pt>
                  <c:pt idx="29">
                    <c:v>829</c:v>
                  </c:pt>
                </c:lvl>
                <c:lvl>
                  <c:pt idx="0">
                    <c:v>8270</c:v>
                  </c:pt>
                  <c:pt idx="1">
                    <c:v>1860</c:v>
                  </c:pt>
                  <c:pt idx="2">
                    <c:v>6390</c:v>
                  </c:pt>
                  <c:pt idx="3">
                    <c:v>6191</c:v>
                  </c:pt>
                  <c:pt idx="4">
                    <c:v>6734</c:v>
                  </c:pt>
                  <c:pt idx="5">
                    <c:v>7265</c:v>
                  </c:pt>
                  <c:pt idx="6">
                    <c:v>1466</c:v>
                  </c:pt>
                  <c:pt idx="7">
                    <c:v>5426</c:v>
                  </c:pt>
                  <c:pt idx="8">
                    <c:v>6578</c:v>
                  </c:pt>
                  <c:pt idx="9">
                    <c:v>9322</c:v>
                  </c:pt>
                  <c:pt idx="10">
                    <c:v>2685</c:v>
                  </c:pt>
                  <c:pt idx="11">
                    <c:v>1769</c:v>
                  </c:pt>
                  <c:pt idx="12">
                    <c:v>7949</c:v>
                  </c:pt>
                  <c:pt idx="13">
                    <c:v>3433</c:v>
                  </c:pt>
                  <c:pt idx="14">
                    <c:v>6311</c:v>
                  </c:pt>
                  <c:pt idx="15">
                    <c:v>6051</c:v>
                  </c:pt>
                  <c:pt idx="16">
                    <c:v>7420</c:v>
                  </c:pt>
                  <c:pt idx="17">
                    <c:v>2184</c:v>
                  </c:pt>
                  <c:pt idx="18">
                    <c:v>5555</c:v>
                  </c:pt>
                  <c:pt idx="19">
                    <c:v>4385</c:v>
                  </c:pt>
                  <c:pt idx="20">
                    <c:v>7396</c:v>
                  </c:pt>
                  <c:pt idx="21">
                    <c:v>9666</c:v>
                  </c:pt>
                  <c:pt idx="22">
                    <c:v>3558</c:v>
                  </c:pt>
                  <c:pt idx="23">
                    <c:v>8849</c:v>
                  </c:pt>
                  <c:pt idx="24">
                    <c:v>3047</c:v>
                  </c:pt>
                  <c:pt idx="25">
                    <c:v>3747</c:v>
                  </c:pt>
                  <c:pt idx="26">
                    <c:v>1189</c:v>
                  </c:pt>
                  <c:pt idx="27">
                    <c:v>3734</c:v>
                  </c:pt>
                  <c:pt idx="28">
                    <c:v>4005</c:v>
                  </c:pt>
                  <c:pt idx="29">
                    <c:v>5658</c:v>
                  </c:pt>
                </c:lvl>
                <c:lvl>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lvl>
              </c:multiLvlStrCache>
            </c:multiLvlStrRef>
          </c:xVal>
          <c:yVal>
            <c:numRef>
              <c:f>ecommerce_sales_data!$O$2:$O$31</c:f>
              <c:numCache>
                <c:formatCode>General</c:formatCode>
                <c:ptCount val="30"/>
                <c:pt idx="0">
                  <c:v>1</c:v>
                </c:pt>
                <c:pt idx="1">
                  <c:v>1</c:v>
                </c:pt>
                <c:pt idx="2">
                  <c:v>2</c:v>
                </c:pt>
                <c:pt idx="3">
                  <c:v>2</c:v>
                </c:pt>
                <c:pt idx="4">
                  <c:v>2</c:v>
                </c:pt>
                <c:pt idx="5">
                  <c:v>3</c:v>
                </c:pt>
                <c:pt idx="6">
                  <c:v>3</c:v>
                </c:pt>
                <c:pt idx="7">
                  <c:v>1</c:v>
                </c:pt>
                <c:pt idx="8">
                  <c:v>4</c:v>
                </c:pt>
                <c:pt idx="9">
                  <c:v>3</c:v>
                </c:pt>
                <c:pt idx="10">
                  <c:v>3</c:v>
                </c:pt>
                <c:pt idx="11">
                  <c:v>1</c:v>
                </c:pt>
                <c:pt idx="12">
                  <c:v>3</c:v>
                </c:pt>
                <c:pt idx="13">
                  <c:v>1</c:v>
                </c:pt>
                <c:pt idx="14">
                  <c:v>3</c:v>
                </c:pt>
                <c:pt idx="15">
                  <c:v>2</c:v>
                </c:pt>
                <c:pt idx="16">
                  <c:v>4</c:v>
                </c:pt>
                <c:pt idx="17">
                  <c:v>2</c:v>
                </c:pt>
                <c:pt idx="18">
                  <c:v>4</c:v>
                </c:pt>
                <c:pt idx="19">
                  <c:v>1</c:v>
                </c:pt>
                <c:pt idx="20">
                  <c:v>2</c:v>
                </c:pt>
                <c:pt idx="21">
                  <c:v>4</c:v>
                </c:pt>
                <c:pt idx="22">
                  <c:v>3</c:v>
                </c:pt>
                <c:pt idx="23">
                  <c:v>4</c:v>
                </c:pt>
                <c:pt idx="24">
                  <c:v>4</c:v>
                </c:pt>
                <c:pt idx="25">
                  <c:v>4</c:v>
                </c:pt>
                <c:pt idx="26">
                  <c:v>3</c:v>
                </c:pt>
                <c:pt idx="27">
                  <c:v>3</c:v>
                </c:pt>
                <c:pt idx="28">
                  <c:v>1</c:v>
                </c:pt>
                <c:pt idx="29">
                  <c:v>4</c:v>
                </c:pt>
              </c:numCache>
            </c:numRef>
          </c:yVal>
          <c:smooth val="0"/>
          <c:extLst>
            <c:ext xmlns:c16="http://schemas.microsoft.com/office/drawing/2014/chart" uri="{C3380CC4-5D6E-409C-BE32-E72D297353CC}">
              <c16:uniqueId val="{00000000-CD3A-4EC3-81E1-51340E6990F3}"/>
            </c:ext>
          </c:extLst>
        </c:ser>
        <c:ser>
          <c:idx val="1"/>
          <c:order val="1"/>
          <c:tx>
            <c:strRef>
              <c:f>ecommerce_sales_data!$P$1</c:f>
              <c:strCache>
                <c:ptCount val="1"/>
                <c:pt idx="0">
                  <c:v>encode</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multiLvlStrRef>
              <c:f>ecommerce_sales_data!$A$2:$N$31</c:f>
              <c:multiLvlStrCache>
                <c:ptCount val="30"/>
                <c:lvl>
                  <c:pt idx="0">
                    <c:v>83.36</c:v>
                  </c:pt>
                  <c:pt idx="1">
                    <c:v>58.88</c:v>
                  </c:pt>
                  <c:pt idx="2">
                    <c:v>53.99</c:v>
                  </c:pt>
                  <c:pt idx="3">
                    <c:v>11.73</c:v>
                  </c:pt>
                  <c:pt idx="4">
                    <c:v>34.79</c:v>
                  </c:pt>
                  <c:pt idx="5">
                    <c:v>25.78</c:v>
                  </c:pt>
                  <c:pt idx="6">
                    <c:v>68.36</c:v>
                  </c:pt>
                  <c:pt idx="7">
                    <c:v>19.23</c:v>
                  </c:pt>
                  <c:pt idx="8">
                    <c:v>28.61</c:v>
                  </c:pt>
                  <c:pt idx="9">
                    <c:v>35.18</c:v>
                  </c:pt>
                  <c:pt idx="10">
                    <c:v>76.82</c:v>
                  </c:pt>
                  <c:pt idx="11">
                    <c:v>26.24</c:v>
                  </c:pt>
                  <c:pt idx="12">
                    <c:v>39.91</c:v>
                  </c:pt>
                  <c:pt idx="13">
                    <c:v>69.39</c:v>
                  </c:pt>
                  <c:pt idx="14">
                    <c:v>10.33</c:v>
                  </c:pt>
                  <c:pt idx="15">
                    <c:v>41.77</c:v>
                  </c:pt>
                  <c:pt idx="16">
                    <c:v>9.93</c:v>
                  </c:pt>
                  <c:pt idx="17">
                    <c:v>97.73</c:v>
                  </c:pt>
                  <c:pt idx="18">
                    <c:v>54.32</c:v>
                  </c:pt>
                  <c:pt idx="19">
                    <c:v>57.35</c:v>
                  </c:pt>
                  <c:pt idx="20">
                    <c:v>41.08</c:v>
                  </c:pt>
                  <c:pt idx="21">
                    <c:v>88.02</c:v>
                  </c:pt>
                  <c:pt idx="22">
                    <c:v>67.51</c:v>
                  </c:pt>
                  <c:pt idx="23">
                    <c:v>18.76</c:v>
                  </c:pt>
                  <c:pt idx="24">
                    <c:v>33.4</c:v>
                  </c:pt>
                  <c:pt idx="25">
                    <c:v>21.91</c:v>
                  </c:pt>
                  <c:pt idx="26">
                    <c:v>81.49</c:v>
                  </c:pt>
                  <c:pt idx="27">
                    <c:v>77.27</c:v>
                  </c:pt>
                  <c:pt idx="28">
                    <c:v>26.78</c:v>
                  </c:pt>
                  <c:pt idx="29">
                    <c:v>39.34</c:v>
                  </c:pt>
                </c:lvl>
                <c:lvl>
                  <c:pt idx="0">
                    <c:v>Medium</c:v>
                  </c:pt>
                  <c:pt idx="1">
                    <c:v>High</c:v>
                  </c:pt>
                  <c:pt idx="2">
                    <c:v>High</c:v>
                  </c:pt>
                  <c:pt idx="3">
                    <c:v>Low</c:v>
                  </c:pt>
                  <c:pt idx="4">
                    <c:v>High</c:v>
                  </c:pt>
                  <c:pt idx="5">
                    <c:v>High</c:v>
                  </c:pt>
                  <c:pt idx="6">
                    <c:v>Low</c:v>
                  </c:pt>
                  <c:pt idx="7">
                    <c:v>High</c:v>
                  </c:pt>
                  <c:pt idx="8">
                    <c:v>Low</c:v>
                  </c:pt>
                  <c:pt idx="9">
                    <c:v>Low</c:v>
                  </c:pt>
                  <c:pt idx="10">
                    <c:v>Low</c:v>
                  </c:pt>
                  <c:pt idx="11">
                    <c:v>High</c:v>
                  </c:pt>
                  <c:pt idx="12">
                    <c:v>Low</c:v>
                  </c:pt>
                  <c:pt idx="13">
                    <c:v>Low</c:v>
                  </c:pt>
                  <c:pt idx="14">
                    <c:v>High</c:v>
                  </c:pt>
                  <c:pt idx="15">
                    <c:v>Low</c:v>
                  </c:pt>
                  <c:pt idx="16">
                    <c:v>Medium</c:v>
                  </c:pt>
                  <c:pt idx="17">
                    <c:v>Medium</c:v>
                  </c:pt>
                  <c:pt idx="18">
                    <c:v>Low</c:v>
                  </c:pt>
                  <c:pt idx="19">
                    <c:v>Low</c:v>
                  </c:pt>
                  <c:pt idx="20">
                    <c:v>Medium</c:v>
                  </c:pt>
                  <c:pt idx="21">
                    <c:v>Medium</c:v>
                  </c:pt>
                  <c:pt idx="22">
                    <c:v>Medium</c:v>
                  </c:pt>
                  <c:pt idx="23">
                    <c:v>High</c:v>
                  </c:pt>
                  <c:pt idx="24">
                    <c:v>High</c:v>
                  </c:pt>
                  <c:pt idx="25">
                    <c:v>Low</c:v>
                  </c:pt>
                  <c:pt idx="26">
                    <c:v>Low</c:v>
                  </c:pt>
                  <c:pt idx="27">
                    <c:v>Low</c:v>
                  </c:pt>
                  <c:pt idx="28">
                    <c:v>High</c:v>
                  </c:pt>
                  <c:pt idx="29">
                    <c:v>Low</c:v>
                  </c:pt>
                </c:lvl>
                <c:lvl>
                  <c:pt idx="0">
                    <c:v>Female</c:v>
                  </c:pt>
                  <c:pt idx="1">
                    <c:v>Other</c:v>
                  </c:pt>
                  <c:pt idx="2">
                    <c:v>Female</c:v>
                  </c:pt>
                  <c:pt idx="3">
                    <c:v>Female</c:v>
                  </c:pt>
                  <c:pt idx="4">
                    <c:v>Other</c:v>
                  </c:pt>
                  <c:pt idx="5">
                    <c:v>Male</c:v>
                  </c:pt>
                  <c:pt idx="6">
                    <c:v>Male</c:v>
                  </c:pt>
                  <c:pt idx="7">
                    <c:v>Female</c:v>
                  </c:pt>
                  <c:pt idx="8">
                    <c:v>Male</c:v>
                  </c:pt>
                  <c:pt idx="9">
                    <c:v>Female</c:v>
                  </c:pt>
                  <c:pt idx="10">
                    <c:v>Other</c:v>
                  </c:pt>
                  <c:pt idx="11">
                    <c:v>Other</c:v>
                  </c:pt>
                  <c:pt idx="12">
                    <c:v>Other</c:v>
                  </c:pt>
                  <c:pt idx="13">
                    <c:v>Male</c:v>
                  </c:pt>
                  <c:pt idx="14">
                    <c:v>Other</c:v>
                  </c:pt>
                  <c:pt idx="15">
                    <c:v>Other</c:v>
                  </c:pt>
                  <c:pt idx="16">
                    <c:v>Other</c:v>
                  </c:pt>
                  <c:pt idx="17">
                    <c:v>Other</c:v>
                  </c:pt>
                  <c:pt idx="18">
                    <c:v>Female</c:v>
                  </c:pt>
                  <c:pt idx="19">
                    <c:v>Other</c:v>
                  </c:pt>
                  <c:pt idx="20">
                    <c:v>Male</c:v>
                  </c:pt>
                  <c:pt idx="21">
                    <c:v>Female</c:v>
                  </c:pt>
                  <c:pt idx="22">
                    <c:v>Other</c:v>
                  </c:pt>
                  <c:pt idx="23">
                    <c:v>Female</c:v>
                  </c:pt>
                  <c:pt idx="24">
                    <c:v>Male</c:v>
                  </c:pt>
                  <c:pt idx="25">
                    <c:v>Male</c:v>
                  </c:pt>
                  <c:pt idx="26">
                    <c:v>Male</c:v>
                  </c:pt>
                  <c:pt idx="27">
                    <c:v>Male</c:v>
                  </c:pt>
                  <c:pt idx="28">
                    <c:v>Other</c:v>
                  </c:pt>
                  <c:pt idx="29">
                    <c:v>Female</c:v>
                  </c:pt>
                </c:lvl>
                <c:lvl>
                  <c:pt idx="0">
                    <c:v>46</c:v>
                  </c:pt>
                  <c:pt idx="1">
                    <c:v>59</c:v>
                  </c:pt>
                  <c:pt idx="2">
                    <c:v>61</c:v>
                  </c:pt>
                  <c:pt idx="3">
                    <c:v>69</c:v>
                  </c:pt>
                  <c:pt idx="4">
                    <c:v>29</c:v>
                  </c:pt>
                  <c:pt idx="5">
                    <c:v>60</c:v>
                  </c:pt>
                  <c:pt idx="6">
                    <c:v>69</c:v>
                  </c:pt>
                  <c:pt idx="7">
                    <c:v>45</c:v>
                  </c:pt>
                  <c:pt idx="8">
                    <c:v>37</c:v>
                  </c:pt>
                  <c:pt idx="9">
                    <c:v>67</c:v>
                  </c:pt>
                  <c:pt idx="10">
                    <c:v>36</c:v>
                  </c:pt>
                  <c:pt idx="11">
                    <c:v>61</c:v>
                  </c:pt>
                  <c:pt idx="12">
                    <c:v>65</c:v>
                  </c:pt>
                  <c:pt idx="13">
                    <c:v>35</c:v>
                  </c:pt>
                  <c:pt idx="14">
                    <c:v>20</c:v>
                  </c:pt>
                  <c:pt idx="15">
                    <c:v>46</c:v>
                  </c:pt>
                  <c:pt idx="16">
                    <c:v>21</c:v>
                  </c:pt>
                  <c:pt idx="17">
                    <c:v>23</c:v>
                  </c:pt>
                  <c:pt idx="18">
                    <c:v>52</c:v>
                  </c:pt>
                  <c:pt idx="19">
                    <c:v>46</c:v>
                  </c:pt>
                  <c:pt idx="20">
                    <c:v>60</c:v>
                  </c:pt>
                  <c:pt idx="21">
                    <c:v>54</c:v>
                  </c:pt>
                  <c:pt idx="22">
                    <c:v>29</c:v>
                  </c:pt>
                  <c:pt idx="23">
                    <c:v>45</c:v>
                  </c:pt>
                  <c:pt idx="24">
                    <c:v>38</c:v>
                  </c:pt>
                  <c:pt idx="25">
                    <c:v>52</c:v>
                  </c:pt>
                  <c:pt idx="26">
                    <c:v>66</c:v>
                  </c:pt>
                  <c:pt idx="27">
                    <c:v>34</c:v>
                  </c:pt>
                  <c:pt idx="28">
                    <c:v>52</c:v>
                  </c:pt>
                  <c:pt idx="29">
                    <c:v>68</c:v>
                  </c:pt>
                </c:lvl>
                <c:lvl>
                  <c:pt idx="0">
                    <c:v>New Juan</c:v>
                  </c:pt>
                  <c:pt idx="1">
                    <c:v>South Julie</c:v>
                  </c:pt>
                  <c:pt idx="2">
                    <c:v>West Carrieview</c:v>
                  </c:pt>
                  <c:pt idx="3">
                    <c:v>Christianberg</c:v>
                  </c:pt>
                  <c:pt idx="4">
                    <c:v>South Williamhaven</c:v>
                  </c:pt>
                  <c:pt idx="5">
                    <c:v>Stephenfort</c:v>
                  </c:pt>
                  <c:pt idx="6">
                    <c:v>North Terristad</c:v>
                  </c:pt>
                  <c:pt idx="7">
                    <c:v>Pachecotown</c:v>
                  </c:pt>
                  <c:pt idx="8">
                    <c:v>Port Philipberg</c:v>
                  </c:pt>
                  <c:pt idx="9">
                    <c:v>Jenniferfurt</c:v>
                  </c:pt>
                  <c:pt idx="10">
                    <c:v>Lake Carolyn</c:v>
                  </c:pt>
                  <c:pt idx="11">
                    <c:v>Amandaborough</c:v>
                  </c:pt>
                  <c:pt idx="12">
                    <c:v>South Maria</c:v>
                  </c:pt>
                  <c:pt idx="13">
                    <c:v>West Marissa</c:v>
                  </c:pt>
                  <c:pt idx="14">
                    <c:v>Austinburgh</c:v>
                  </c:pt>
                  <c:pt idx="15">
                    <c:v>Lake Jesse</c:v>
                  </c:pt>
                  <c:pt idx="16">
                    <c:v>Marioburgh</c:v>
                  </c:pt>
                  <c:pt idx="17">
                    <c:v>Ryanhaven</c:v>
                  </c:pt>
                  <c:pt idx="18">
                    <c:v>Dickersonmouth</c:v>
                  </c:pt>
                  <c:pt idx="19">
                    <c:v>Annaborough</c:v>
                  </c:pt>
                  <c:pt idx="20">
                    <c:v>Ramirezburgh</c:v>
                  </c:pt>
                  <c:pt idx="21">
                    <c:v>Sextonberg</c:v>
                  </c:pt>
                  <c:pt idx="22">
                    <c:v>Beasleyshire</c:v>
                  </c:pt>
                  <c:pt idx="23">
                    <c:v>Lake Brittneyland</c:v>
                  </c:pt>
                  <c:pt idx="24">
                    <c:v>South John</c:v>
                  </c:pt>
                  <c:pt idx="25">
                    <c:v>New Devin</c:v>
                  </c:pt>
                  <c:pt idx="26">
                    <c:v>Lake Denise</c:v>
                  </c:pt>
                  <c:pt idx="27">
                    <c:v>South Susan</c:v>
                  </c:pt>
                  <c:pt idx="28">
                    <c:v>Johnsonchester</c:v>
                  </c:pt>
                  <c:pt idx="29">
                    <c:v>Martinberg</c:v>
                  </c:pt>
                </c:lvl>
                <c:lvl>
                  <c:pt idx="0">
                    <c:v>22-12-2023 10:35</c:v>
                  </c:pt>
                  <c:pt idx="1">
                    <c:v>05-05-2024 10:40</c:v>
                  </c:pt>
                  <c:pt idx="2">
                    <c:v>04-12-2023 05:22</c:v>
                  </c:pt>
                  <c:pt idx="3">
                    <c:v>02-01-2024 11:11</c:v>
                  </c:pt>
                  <c:pt idx="4">
                    <c:v>18-06-2024 01:01</c:v>
                  </c:pt>
                  <c:pt idx="5">
                    <c:v>06-03-2024 06:15</c:v>
                  </c:pt>
                  <c:pt idx="6">
                    <c:v>15-10-2023 13:30</c:v>
                  </c:pt>
                  <c:pt idx="7">
                    <c:v>16-05-2024 01:46</c:v>
                  </c:pt>
                  <c:pt idx="8">
                    <c:v>04-08-2024 17:13</c:v>
                  </c:pt>
                  <c:pt idx="9">
                    <c:v>18-12-2023 18:38</c:v>
                  </c:pt>
                  <c:pt idx="10">
                    <c:v>26-05-2024 02:56</c:v>
                  </c:pt>
                  <c:pt idx="11">
                    <c:v>26-09-2023 05:18</c:v>
                  </c:pt>
                  <c:pt idx="12">
                    <c:v>13-12-2023 23:53</c:v>
                  </c:pt>
                  <c:pt idx="13">
                    <c:v>02-12-2023 07:44</c:v>
                  </c:pt>
                  <c:pt idx="14">
                    <c:v>01-03-2024 17:49</c:v>
                  </c:pt>
                  <c:pt idx="15">
                    <c:v>12-08-2024 12:13</c:v>
                  </c:pt>
                  <c:pt idx="16">
                    <c:v>24-07-2024 08:49</c:v>
                  </c:pt>
                  <c:pt idx="17">
                    <c:v>14-06-2024 18:03</c:v>
                  </c:pt>
                  <c:pt idx="18">
                    <c:v>02-03-2024 05:18</c:v>
                  </c:pt>
                  <c:pt idx="19">
                    <c:v>19-05-2024 13:22</c:v>
                  </c:pt>
                  <c:pt idx="20">
                    <c:v>13-05-2024 10:04</c:v>
                  </c:pt>
                  <c:pt idx="21">
                    <c:v>05-04-2024 20:50</c:v>
                  </c:pt>
                  <c:pt idx="22">
                    <c:v>17-11-2023 05:30</c:v>
                  </c:pt>
                  <c:pt idx="23">
                    <c:v>05-08-2024 14:07</c:v>
                  </c:pt>
                  <c:pt idx="24">
                    <c:v>24-02-2024 01:14</c:v>
                  </c:pt>
                  <c:pt idx="25">
                    <c:v>04-03-2024 09:18</c:v>
                  </c:pt>
                  <c:pt idx="26">
                    <c:v>26-10-2023 07:12</c:v>
                  </c:pt>
                  <c:pt idx="27">
                    <c:v>04-08-2024 12:39</c:v>
                  </c:pt>
                  <c:pt idx="28">
                    <c:v>06-05-2024 01:39</c:v>
                  </c:pt>
                  <c:pt idx="29">
                    <c:v>23-10-2023 11:34</c:v>
                  </c:pt>
                </c:lvl>
                <c:lvl>
                  <c:pt idx="0">
                    <c:v>0.13</c:v>
                  </c:pt>
                  <c:pt idx="1">
                    <c:v>0.06</c:v>
                  </c:pt>
                  <c:pt idx="2">
                    <c:v>0.24</c:v>
                  </c:pt>
                  <c:pt idx="3">
                    <c:v>0.01</c:v>
                  </c:pt>
                  <c:pt idx="4">
                    <c:v>0.14</c:v>
                  </c:pt>
                  <c:pt idx="5">
                    <c:v>0.18</c:v>
                  </c:pt>
                  <c:pt idx="6">
                    <c:v>0.09</c:v>
                  </c:pt>
                  <c:pt idx="7">
                    <c:v>0.29</c:v>
                  </c:pt>
                  <c:pt idx="8">
                    <c:v>0.12</c:v>
                  </c:pt>
                  <c:pt idx="9">
                    <c:v>0.23</c:v>
                  </c:pt>
                  <c:pt idx="10">
                    <c:v>0.06</c:v>
                  </c:pt>
                  <c:pt idx="11">
                    <c:v>0.05</c:v>
                  </c:pt>
                  <c:pt idx="12">
                    <c:v>0.25</c:v>
                  </c:pt>
                  <c:pt idx="13">
                    <c:v>0.15</c:v>
                  </c:pt>
                  <c:pt idx="14">
                    <c:v>0.26</c:v>
                  </c:pt>
                  <c:pt idx="15">
                    <c:v>0.22</c:v>
                  </c:pt>
                  <c:pt idx="16">
                    <c:v>0.19</c:v>
                  </c:pt>
                  <c:pt idx="17">
                    <c:v>0.26</c:v>
                  </c:pt>
                  <c:pt idx="18">
                    <c:v>0.12</c:v>
                  </c:pt>
                  <c:pt idx="19">
                    <c:v>0.28</c:v>
                  </c:pt>
                  <c:pt idx="20">
                    <c:v>0.04</c:v>
                  </c:pt>
                  <c:pt idx="21">
                    <c:v>0.04</c:v>
                  </c:pt>
                  <c:pt idx="22">
                    <c:v>0.04</c:v>
                  </c:pt>
                  <c:pt idx="23">
                    <c:v>0.15</c:v>
                  </c:pt>
                  <c:pt idx="24">
                    <c:v>0.28</c:v>
                  </c:pt>
                  <c:pt idx="25">
                    <c:v>0.2</c:v>
                  </c:pt>
                  <c:pt idx="26">
                    <c:v>0.11</c:v>
                  </c:pt>
                  <c:pt idx="27">
                    <c:v>0.05</c:v>
                  </c:pt>
                  <c:pt idx="28">
                    <c:v>0.11</c:v>
                  </c:pt>
                  <c:pt idx="29">
                    <c:v>0.01</c:v>
                  </c:pt>
                </c:lvl>
                <c:lvl>
                  <c:pt idx="0">
                    <c:v>801.66</c:v>
                  </c:pt>
                  <c:pt idx="1">
                    <c:v>225.03</c:v>
                  </c:pt>
                  <c:pt idx="2">
                    <c:v>544.99</c:v>
                  </c:pt>
                  <c:pt idx="3">
                    <c:v>157.02</c:v>
                  </c:pt>
                  <c:pt idx="4">
                    <c:v>155.51</c:v>
                  </c:pt>
                  <c:pt idx="5">
                    <c:v>225.65</c:v>
                  </c:pt>
                  <c:pt idx="6">
                    <c:v>631.96</c:v>
                  </c:pt>
                  <c:pt idx="7">
                    <c:v>522.87</c:v>
                  </c:pt>
                  <c:pt idx="8">
                    <c:v>202.66</c:v>
                  </c:pt>
                  <c:pt idx="9">
                    <c:v>401.52</c:v>
                  </c:pt>
                  <c:pt idx="10">
                    <c:v>346.31</c:v>
                  </c:pt>
                  <c:pt idx="11">
                    <c:v>434.15</c:v>
                  </c:pt>
                  <c:pt idx="12">
                    <c:v>189.87</c:v>
                  </c:pt>
                  <c:pt idx="13">
                    <c:v>559.1</c:v>
                  </c:pt>
                  <c:pt idx="14">
                    <c:v>29.01</c:v>
                  </c:pt>
                  <c:pt idx="15">
                    <c:v>541.5</c:v>
                  </c:pt>
                  <c:pt idx="16">
                    <c:v>218.68</c:v>
                  </c:pt>
                  <c:pt idx="17">
                    <c:v>439.07</c:v>
                  </c:pt>
                  <c:pt idx="18">
                    <c:v>849.82</c:v>
                  </c:pt>
                  <c:pt idx="19">
                    <c:v>886.69</c:v>
                  </c:pt>
                  <c:pt idx="20">
                    <c:v>137.79</c:v>
                  </c:pt>
                  <c:pt idx="21">
                    <c:v>6.58</c:v>
                  </c:pt>
                  <c:pt idx="22">
                    <c:v>888.2</c:v>
                  </c:pt>
                  <c:pt idx="23">
                    <c:v>109.35</c:v>
                  </c:pt>
                  <c:pt idx="24">
                    <c:v>144.08</c:v>
                  </c:pt>
                  <c:pt idx="25">
                    <c:v>576.59</c:v>
                  </c:pt>
                  <c:pt idx="26">
                    <c:v>954.41</c:v>
                  </c:pt>
                  <c:pt idx="27">
                    <c:v>513.82</c:v>
                  </c:pt>
                  <c:pt idx="28">
                    <c:v>767.89</c:v>
                  </c:pt>
                  <c:pt idx="29">
                    <c:v>653.79</c:v>
                  </c:pt>
                </c:lvl>
                <c:lvl>
                  <c:pt idx="0">
                    <c:v>Cash on Delivery</c:v>
                  </c:pt>
                  <c:pt idx="1">
                    <c:v>Debit Card</c:v>
                  </c:pt>
                  <c:pt idx="2">
                    <c:v>Debit Card</c:v>
                  </c:pt>
                  <c:pt idx="3">
                    <c:v>Bank Transfer</c:v>
                  </c:pt>
                  <c:pt idx="4">
                    <c:v>Debit Card</c:v>
                  </c:pt>
                  <c:pt idx="5">
                    <c:v>Bank Transfer</c:v>
                  </c:pt>
                  <c:pt idx="6">
                    <c:v>Credit Card</c:v>
                  </c:pt>
                  <c:pt idx="7">
                    <c:v>Cash on Delivery</c:v>
                  </c:pt>
                  <c:pt idx="8">
                    <c:v>Cash on Delivery</c:v>
                  </c:pt>
                  <c:pt idx="9">
                    <c:v>Cash on Delivery</c:v>
                  </c:pt>
                  <c:pt idx="10">
                    <c:v>Cash on Delivery</c:v>
                  </c:pt>
                  <c:pt idx="11">
                    <c:v>Bank Transfer</c:v>
                  </c:pt>
                  <c:pt idx="12">
                    <c:v>Credit Card</c:v>
                  </c:pt>
                  <c:pt idx="13">
                    <c:v>Debit Card</c:v>
                  </c:pt>
                  <c:pt idx="14">
                    <c:v>Cash on Delivery</c:v>
                  </c:pt>
                  <c:pt idx="15">
                    <c:v>Bank Transfer</c:v>
                  </c:pt>
                  <c:pt idx="16">
                    <c:v>Credit Card</c:v>
                  </c:pt>
                  <c:pt idx="17">
                    <c:v>PayPal</c:v>
                  </c:pt>
                  <c:pt idx="18">
                    <c:v>Cash on Delivery</c:v>
                  </c:pt>
                  <c:pt idx="19">
                    <c:v>Debit Card</c:v>
                  </c:pt>
                  <c:pt idx="20">
                    <c:v>Credit Card</c:v>
                  </c:pt>
                  <c:pt idx="21">
                    <c:v>PayPal</c:v>
                  </c:pt>
                  <c:pt idx="22">
                    <c:v>Cash on Delivery</c:v>
                  </c:pt>
                  <c:pt idx="23">
                    <c:v>Debit Card</c:v>
                  </c:pt>
                  <c:pt idx="24">
                    <c:v>Cash on Delivery</c:v>
                  </c:pt>
                  <c:pt idx="25">
                    <c:v>Bank Transfer</c:v>
                  </c:pt>
                  <c:pt idx="26">
                    <c:v>PayPal</c:v>
                  </c:pt>
                  <c:pt idx="27">
                    <c:v>Credit Card</c:v>
                  </c:pt>
                  <c:pt idx="28">
                    <c:v>Credit Card</c:v>
                  </c:pt>
                  <c:pt idx="29">
                    <c:v>Cash on Delivery</c:v>
                  </c:pt>
                </c:lvl>
                <c:lvl>
                  <c:pt idx="0">
                    <c:v>Clothing</c:v>
                  </c:pt>
                  <c:pt idx="1">
                    <c:v>Beauty</c:v>
                  </c:pt>
                  <c:pt idx="2">
                    <c:v>Toys</c:v>
                  </c:pt>
                  <c:pt idx="3">
                    <c:v>Beauty</c:v>
                  </c:pt>
                  <c:pt idx="4">
                    <c:v>Electronics</c:v>
                  </c:pt>
                  <c:pt idx="5">
                    <c:v>Books</c:v>
                  </c:pt>
                  <c:pt idx="6">
                    <c:v>Beauty</c:v>
                  </c:pt>
                  <c:pt idx="7">
                    <c:v>Sports</c:v>
                  </c:pt>
                  <c:pt idx="8">
                    <c:v>Books</c:v>
                  </c:pt>
                  <c:pt idx="9">
                    <c:v>Toys</c:v>
                  </c:pt>
                  <c:pt idx="10">
                    <c:v>Clothing</c:v>
                  </c:pt>
                  <c:pt idx="11">
                    <c:v>Sports</c:v>
                  </c:pt>
                  <c:pt idx="12">
                    <c:v>Electronics</c:v>
                  </c:pt>
                  <c:pt idx="13">
                    <c:v>Home &amp; Kitchen</c:v>
                  </c:pt>
                  <c:pt idx="14">
                    <c:v>Toys</c:v>
                  </c:pt>
                  <c:pt idx="15">
                    <c:v>Toys</c:v>
                  </c:pt>
                  <c:pt idx="16">
                    <c:v>Beauty</c:v>
                  </c:pt>
                  <c:pt idx="17">
                    <c:v>Clothing</c:v>
                  </c:pt>
                  <c:pt idx="18">
                    <c:v>Books</c:v>
                  </c:pt>
                  <c:pt idx="19">
                    <c:v>Electronics</c:v>
                  </c:pt>
                  <c:pt idx="20">
                    <c:v>Toys</c:v>
                  </c:pt>
                  <c:pt idx="21">
                    <c:v>Electronics</c:v>
                  </c:pt>
                  <c:pt idx="22">
                    <c:v>Toys</c:v>
                  </c:pt>
                  <c:pt idx="23">
                    <c:v>Toys</c:v>
                  </c:pt>
                  <c:pt idx="24">
                    <c:v>Electronics</c:v>
                  </c:pt>
                  <c:pt idx="25">
                    <c:v>Sports</c:v>
                  </c:pt>
                  <c:pt idx="26">
                    <c:v>Electronics</c:v>
                  </c:pt>
                  <c:pt idx="27">
                    <c:v>Home &amp; Kitchen</c:v>
                  </c:pt>
                  <c:pt idx="28">
                    <c:v>Sports</c:v>
                  </c:pt>
                  <c:pt idx="29">
                    <c:v>Beauty</c:v>
                  </c:pt>
                </c:lvl>
                <c:lvl>
                  <c:pt idx="0">
                    <c:v>295</c:v>
                  </c:pt>
                  <c:pt idx="1">
                    <c:v>546</c:v>
                  </c:pt>
                  <c:pt idx="2">
                    <c:v>430</c:v>
                  </c:pt>
                  <c:pt idx="3">
                    <c:v>807</c:v>
                  </c:pt>
                  <c:pt idx="4">
                    <c:v>319</c:v>
                  </c:pt>
                  <c:pt idx="5">
                    <c:v>282</c:v>
                  </c:pt>
                  <c:pt idx="6">
                    <c:v>276</c:v>
                  </c:pt>
                  <c:pt idx="7">
                    <c:v>574</c:v>
                  </c:pt>
                  <c:pt idx="8">
                    <c:v>948</c:v>
                  </c:pt>
                  <c:pt idx="9">
                    <c:v>459</c:v>
                  </c:pt>
                  <c:pt idx="10">
                    <c:v>745</c:v>
                  </c:pt>
                  <c:pt idx="11">
                    <c:v>564</c:v>
                  </c:pt>
                  <c:pt idx="12">
                    <c:v>334</c:v>
                  </c:pt>
                  <c:pt idx="13">
                    <c:v>536</c:v>
                  </c:pt>
                  <c:pt idx="14">
                    <c:v>239</c:v>
                  </c:pt>
                  <c:pt idx="15">
                    <c:v>587</c:v>
                  </c:pt>
                  <c:pt idx="16">
                    <c:v>868</c:v>
                  </c:pt>
                  <c:pt idx="17">
                    <c:v>384</c:v>
                  </c:pt>
                  <c:pt idx="18">
                    <c:v>701</c:v>
                  </c:pt>
                  <c:pt idx="19">
                    <c:v>427</c:v>
                  </c:pt>
                  <c:pt idx="20">
                    <c:v>150</c:v>
                  </c:pt>
                  <c:pt idx="21">
                    <c:v>797</c:v>
                  </c:pt>
                  <c:pt idx="22">
                    <c:v>577</c:v>
                  </c:pt>
                  <c:pt idx="23">
                    <c:v>385</c:v>
                  </c:pt>
                  <c:pt idx="24">
                    <c:v>419</c:v>
                  </c:pt>
                  <c:pt idx="25">
                    <c:v>733</c:v>
                  </c:pt>
                  <c:pt idx="26">
                    <c:v>278</c:v>
                  </c:pt>
                  <c:pt idx="27">
                    <c:v>231</c:v>
                  </c:pt>
                  <c:pt idx="28">
                    <c:v>699</c:v>
                  </c:pt>
                  <c:pt idx="29">
                    <c:v>829</c:v>
                  </c:pt>
                </c:lvl>
                <c:lvl>
                  <c:pt idx="0">
                    <c:v>8270</c:v>
                  </c:pt>
                  <c:pt idx="1">
                    <c:v>1860</c:v>
                  </c:pt>
                  <c:pt idx="2">
                    <c:v>6390</c:v>
                  </c:pt>
                  <c:pt idx="3">
                    <c:v>6191</c:v>
                  </c:pt>
                  <c:pt idx="4">
                    <c:v>6734</c:v>
                  </c:pt>
                  <c:pt idx="5">
                    <c:v>7265</c:v>
                  </c:pt>
                  <c:pt idx="6">
                    <c:v>1466</c:v>
                  </c:pt>
                  <c:pt idx="7">
                    <c:v>5426</c:v>
                  </c:pt>
                  <c:pt idx="8">
                    <c:v>6578</c:v>
                  </c:pt>
                  <c:pt idx="9">
                    <c:v>9322</c:v>
                  </c:pt>
                  <c:pt idx="10">
                    <c:v>2685</c:v>
                  </c:pt>
                  <c:pt idx="11">
                    <c:v>1769</c:v>
                  </c:pt>
                  <c:pt idx="12">
                    <c:v>7949</c:v>
                  </c:pt>
                  <c:pt idx="13">
                    <c:v>3433</c:v>
                  </c:pt>
                  <c:pt idx="14">
                    <c:v>6311</c:v>
                  </c:pt>
                  <c:pt idx="15">
                    <c:v>6051</c:v>
                  </c:pt>
                  <c:pt idx="16">
                    <c:v>7420</c:v>
                  </c:pt>
                  <c:pt idx="17">
                    <c:v>2184</c:v>
                  </c:pt>
                  <c:pt idx="18">
                    <c:v>5555</c:v>
                  </c:pt>
                  <c:pt idx="19">
                    <c:v>4385</c:v>
                  </c:pt>
                  <c:pt idx="20">
                    <c:v>7396</c:v>
                  </c:pt>
                  <c:pt idx="21">
                    <c:v>9666</c:v>
                  </c:pt>
                  <c:pt idx="22">
                    <c:v>3558</c:v>
                  </c:pt>
                  <c:pt idx="23">
                    <c:v>8849</c:v>
                  </c:pt>
                  <c:pt idx="24">
                    <c:v>3047</c:v>
                  </c:pt>
                  <c:pt idx="25">
                    <c:v>3747</c:v>
                  </c:pt>
                  <c:pt idx="26">
                    <c:v>1189</c:v>
                  </c:pt>
                  <c:pt idx="27">
                    <c:v>3734</c:v>
                  </c:pt>
                  <c:pt idx="28">
                    <c:v>4005</c:v>
                  </c:pt>
                  <c:pt idx="29">
                    <c:v>5658</c:v>
                  </c:pt>
                </c:lvl>
                <c:lvl>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lvl>
              </c:multiLvlStrCache>
            </c:multiLvlStrRef>
          </c:xVal>
          <c:yVal>
            <c:numRef>
              <c:f>ecommerce_sales_data!$P$2:$P$31</c:f>
              <c:numCache>
                <c:formatCode>General</c:formatCode>
                <c:ptCount val="30"/>
                <c:pt idx="0">
                  <c:v>1</c:v>
                </c:pt>
                <c:pt idx="1">
                  <c:v>2</c:v>
                </c:pt>
                <c:pt idx="2">
                  <c:v>3</c:v>
                </c:pt>
                <c:pt idx="3">
                  <c:v>2</c:v>
                </c:pt>
                <c:pt idx="4">
                  <c:v>4</c:v>
                </c:pt>
                <c:pt idx="5">
                  <c:v>6</c:v>
                </c:pt>
                <c:pt idx="6">
                  <c:v>2</c:v>
                </c:pt>
                <c:pt idx="7">
                  <c:v>5</c:v>
                </c:pt>
                <c:pt idx="8">
                  <c:v>6</c:v>
                </c:pt>
                <c:pt idx="9">
                  <c:v>3</c:v>
                </c:pt>
                <c:pt idx="10">
                  <c:v>1</c:v>
                </c:pt>
                <c:pt idx="11">
                  <c:v>5</c:v>
                </c:pt>
                <c:pt idx="12">
                  <c:v>4</c:v>
                </c:pt>
                <c:pt idx="13">
                  <c:v>0</c:v>
                </c:pt>
                <c:pt idx="14">
                  <c:v>3</c:v>
                </c:pt>
                <c:pt idx="15">
                  <c:v>3</c:v>
                </c:pt>
                <c:pt idx="16">
                  <c:v>2</c:v>
                </c:pt>
                <c:pt idx="17">
                  <c:v>1</c:v>
                </c:pt>
                <c:pt idx="18">
                  <c:v>6</c:v>
                </c:pt>
                <c:pt idx="19">
                  <c:v>4</c:v>
                </c:pt>
                <c:pt idx="20">
                  <c:v>3</c:v>
                </c:pt>
                <c:pt idx="21">
                  <c:v>4</c:v>
                </c:pt>
                <c:pt idx="22">
                  <c:v>3</c:v>
                </c:pt>
                <c:pt idx="23">
                  <c:v>3</c:v>
                </c:pt>
                <c:pt idx="24">
                  <c:v>4</c:v>
                </c:pt>
                <c:pt idx="25">
                  <c:v>5</c:v>
                </c:pt>
                <c:pt idx="26">
                  <c:v>4</c:v>
                </c:pt>
                <c:pt idx="27">
                  <c:v>0</c:v>
                </c:pt>
                <c:pt idx="28">
                  <c:v>5</c:v>
                </c:pt>
                <c:pt idx="29">
                  <c:v>2</c:v>
                </c:pt>
              </c:numCache>
            </c:numRef>
          </c:yVal>
          <c:smooth val="0"/>
          <c:extLst>
            <c:ext xmlns:c16="http://schemas.microsoft.com/office/drawing/2014/chart" uri="{C3380CC4-5D6E-409C-BE32-E72D297353CC}">
              <c16:uniqueId val="{00000001-CD3A-4EC3-81E1-51340E6990F3}"/>
            </c:ext>
          </c:extLst>
        </c:ser>
        <c:dLbls>
          <c:showLegendKey val="0"/>
          <c:showVal val="0"/>
          <c:showCatName val="0"/>
          <c:showSerName val="0"/>
          <c:showPercent val="0"/>
          <c:showBubbleSize val="0"/>
        </c:dLbls>
        <c:axId val="966090640"/>
        <c:axId val="966099280"/>
      </c:scatterChart>
      <c:valAx>
        <c:axId val="966090640"/>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6099280"/>
        <c:crosses val="autoZero"/>
        <c:crossBetween val="midCat"/>
      </c:valAx>
      <c:valAx>
        <c:axId val="9660992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6090640"/>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
          <c:y val="0.1734553660497235"/>
          <c:w val="1"/>
          <c:h val="0.75710156022163899"/>
        </c:manualLayout>
      </c:layout>
      <c:pie3DChart>
        <c:varyColors val="1"/>
        <c:ser>
          <c:idx val="0"/>
          <c:order val="0"/>
          <c:tx>
            <c:strRef>
              <c:f>ecommerce_sales_data!$N$1</c:f>
              <c:strCache>
                <c:ptCount val="1"/>
                <c:pt idx="0">
                  <c:v>CustomerLoyaltyScore</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D796-4062-942B-87358805DCD3}"/>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D796-4062-942B-87358805DCD3}"/>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D796-4062-942B-87358805DCD3}"/>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D796-4062-942B-87358805DCD3}"/>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D796-4062-942B-87358805DCD3}"/>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D796-4062-942B-87358805DCD3}"/>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D796-4062-942B-87358805DCD3}"/>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D796-4062-942B-87358805DCD3}"/>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1-D796-4062-942B-87358805DCD3}"/>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3-D796-4062-942B-87358805DCD3}"/>
              </c:ext>
            </c:extLst>
          </c:dPt>
          <c:dPt>
            <c:idx val="10"/>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5-D796-4062-942B-87358805DCD3}"/>
              </c:ext>
            </c:extLst>
          </c:dPt>
          <c:dPt>
            <c:idx val="11"/>
            <c:bubble3D val="0"/>
            <c:spPr>
              <a:solidFill>
                <a:schemeClr val="accent6">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7-D796-4062-942B-87358805DCD3}"/>
              </c:ext>
            </c:extLst>
          </c:dPt>
          <c:dPt>
            <c:idx val="12"/>
            <c:bubble3D val="0"/>
            <c:spPr>
              <a:solidFill>
                <a:schemeClr val="accent1">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9-D796-4062-942B-87358805DCD3}"/>
              </c:ext>
            </c:extLst>
          </c:dPt>
          <c:dPt>
            <c:idx val="13"/>
            <c:bubble3D val="0"/>
            <c:spPr>
              <a:solidFill>
                <a:schemeClr val="accent2">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B-D796-4062-942B-87358805DCD3}"/>
              </c:ext>
            </c:extLst>
          </c:dPt>
          <c:dPt>
            <c:idx val="14"/>
            <c:bubble3D val="0"/>
            <c:spPr>
              <a:solidFill>
                <a:schemeClr val="accent3">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D-D796-4062-942B-87358805DCD3}"/>
              </c:ext>
            </c:extLst>
          </c:dPt>
          <c:dPt>
            <c:idx val="15"/>
            <c:bubble3D val="0"/>
            <c:spPr>
              <a:solidFill>
                <a:schemeClr val="accent4">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F-D796-4062-942B-87358805DCD3}"/>
              </c:ext>
            </c:extLst>
          </c:dPt>
          <c:dPt>
            <c:idx val="16"/>
            <c:bubble3D val="0"/>
            <c:spPr>
              <a:solidFill>
                <a:schemeClr val="accent5">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1-D796-4062-942B-87358805DCD3}"/>
              </c:ext>
            </c:extLst>
          </c:dPt>
          <c:dPt>
            <c:idx val="17"/>
            <c:bubble3D val="0"/>
            <c:spPr>
              <a:solidFill>
                <a:schemeClr val="accent6">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3-D796-4062-942B-87358805DCD3}"/>
              </c:ext>
            </c:extLst>
          </c:dPt>
          <c:dPt>
            <c:idx val="18"/>
            <c:bubble3D val="0"/>
            <c:spPr>
              <a:solidFill>
                <a:schemeClr val="accent1">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5-D796-4062-942B-87358805DCD3}"/>
              </c:ext>
            </c:extLst>
          </c:dPt>
          <c:dPt>
            <c:idx val="19"/>
            <c:bubble3D val="0"/>
            <c:spPr>
              <a:solidFill>
                <a:schemeClr val="accent2">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7-D796-4062-942B-87358805DCD3}"/>
              </c:ext>
            </c:extLst>
          </c:dPt>
          <c:dPt>
            <c:idx val="20"/>
            <c:bubble3D val="0"/>
            <c:spPr>
              <a:solidFill>
                <a:schemeClr val="accent3">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9-D796-4062-942B-87358805DCD3}"/>
              </c:ext>
            </c:extLst>
          </c:dPt>
          <c:dPt>
            <c:idx val="21"/>
            <c:bubble3D val="0"/>
            <c:spPr>
              <a:solidFill>
                <a:schemeClr val="accent4">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B-D796-4062-942B-87358805DCD3}"/>
              </c:ext>
            </c:extLst>
          </c:dPt>
          <c:dPt>
            <c:idx val="22"/>
            <c:bubble3D val="0"/>
            <c:spPr>
              <a:solidFill>
                <a:schemeClr val="accent5">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D-D796-4062-942B-87358805DCD3}"/>
              </c:ext>
            </c:extLst>
          </c:dPt>
          <c:dPt>
            <c:idx val="23"/>
            <c:bubble3D val="0"/>
            <c:spPr>
              <a:solidFill>
                <a:schemeClr val="accent6">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F-D796-4062-942B-87358805DCD3}"/>
              </c:ext>
            </c:extLst>
          </c:dPt>
          <c:dPt>
            <c:idx val="24"/>
            <c:bubble3D val="0"/>
            <c:spPr>
              <a:solidFill>
                <a:schemeClr val="accent1">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1-D796-4062-942B-87358805DCD3}"/>
              </c:ext>
            </c:extLst>
          </c:dPt>
          <c:dPt>
            <c:idx val="25"/>
            <c:bubble3D val="0"/>
            <c:spPr>
              <a:solidFill>
                <a:schemeClr val="accent2">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3-D796-4062-942B-87358805DCD3}"/>
              </c:ext>
            </c:extLst>
          </c:dPt>
          <c:dPt>
            <c:idx val="26"/>
            <c:bubble3D val="0"/>
            <c:spPr>
              <a:solidFill>
                <a:schemeClr val="accent3">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5-D796-4062-942B-87358805DCD3}"/>
              </c:ext>
            </c:extLst>
          </c:dPt>
          <c:dPt>
            <c:idx val="27"/>
            <c:bubble3D val="0"/>
            <c:spPr>
              <a:solidFill>
                <a:schemeClr val="accent4">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7-D796-4062-942B-87358805DCD3}"/>
              </c:ext>
            </c:extLst>
          </c:dPt>
          <c:dPt>
            <c:idx val="28"/>
            <c:bubble3D val="0"/>
            <c:spPr>
              <a:solidFill>
                <a:schemeClr val="accent5">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9-D796-4062-942B-87358805DCD3}"/>
              </c:ext>
            </c:extLst>
          </c:dPt>
          <c:dPt>
            <c:idx val="29"/>
            <c:bubble3D val="0"/>
            <c:spPr>
              <a:solidFill>
                <a:schemeClr val="accent6">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B-D796-4062-942B-87358805DCD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multiLvlStrRef>
              <c:f>ecommerce_sales_data!$A$2:$M$31</c:f>
              <c:multiLvlStrCache>
                <c:ptCount val="30"/>
                <c:lvl>
                  <c:pt idx="0">
                    <c:v>Medium</c:v>
                  </c:pt>
                  <c:pt idx="1">
                    <c:v>High</c:v>
                  </c:pt>
                  <c:pt idx="2">
                    <c:v>High</c:v>
                  </c:pt>
                  <c:pt idx="3">
                    <c:v>Low</c:v>
                  </c:pt>
                  <c:pt idx="4">
                    <c:v>High</c:v>
                  </c:pt>
                  <c:pt idx="5">
                    <c:v>High</c:v>
                  </c:pt>
                  <c:pt idx="6">
                    <c:v>Low</c:v>
                  </c:pt>
                  <c:pt idx="7">
                    <c:v>High</c:v>
                  </c:pt>
                  <c:pt idx="8">
                    <c:v>Low</c:v>
                  </c:pt>
                  <c:pt idx="9">
                    <c:v>Low</c:v>
                  </c:pt>
                  <c:pt idx="10">
                    <c:v>Low</c:v>
                  </c:pt>
                  <c:pt idx="11">
                    <c:v>High</c:v>
                  </c:pt>
                  <c:pt idx="12">
                    <c:v>Low</c:v>
                  </c:pt>
                  <c:pt idx="13">
                    <c:v>Low</c:v>
                  </c:pt>
                  <c:pt idx="14">
                    <c:v>High</c:v>
                  </c:pt>
                  <c:pt idx="15">
                    <c:v>Low</c:v>
                  </c:pt>
                  <c:pt idx="16">
                    <c:v>Medium</c:v>
                  </c:pt>
                  <c:pt idx="17">
                    <c:v>Medium</c:v>
                  </c:pt>
                  <c:pt idx="18">
                    <c:v>Low</c:v>
                  </c:pt>
                  <c:pt idx="19">
                    <c:v>Low</c:v>
                  </c:pt>
                  <c:pt idx="20">
                    <c:v>Medium</c:v>
                  </c:pt>
                  <c:pt idx="21">
                    <c:v>Medium</c:v>
                  </c:pt>
                  <c:pt idx="22">
                    <c:v>Medium</c:v>
                  </c:pt>
                  <c:pt idx="23">
                    <c:v>High</c:v>
                  </c:pt>
                  <c:pt idx="24">
                    <c:v>High</c:v>
                  </c:pt>
                  <c:pt idx="25">
                    <c:v>Low</c:v>
                  </c:pt>
                  <c:pt idx="26">
                    <c:v>Low</c:v>
                  </c:pt>
                  <c:pt idx="27">
                    <c:v>Low</c:v>
                  </c:pt>
                  <c:pt idx="28">
                    <c:v>High</c:v>
                  </c:pt>
                  <c:pt idx="29">
                    <c:v>Low</c:v>
                  </c:pt>
                </c:lvl>
                <c:lvl>
                  <c:pt idx="0">
                    <c:v>Female</c:v>
                  </c:pt>
                  <c:pt idx="1">
                    <c:v>Other</c:v>
                  </c:pt>
                  <c:pt idx="2">
                    <c:v>Female</c:v>
                  </c:pt>
                  <c:pt idx="3">
                    <c:v>Female</c:v>
                  </c:pt>
                  <c:pt idx="4">
                    <c:v>Other</c:v>
                  </c:pt>
                  <c:pt idx="5">
                    <c:v>Male</c:v>
                  </c:pt>
                  <c:pt idx="6">
                    <c:v>Male</c:v>
                  </c:pt>
                  <c:pt idx="7">
                    <c:v>Female</c:v>
                  </c:pt>
                  <c:pt idx="8">
                    <c:v>Male</c:v>
                  </c:pt>
                  <c:pt idx="9">
                    <c:v>Female</c:v>
                  </c:pt>
                  <c:pt idx="10">
                    <c:v>Other</c:v>
                  </c:pt>
                  <c:pt idx="11">
                    <c:v>Other</c:v>
                  </c:pt>
                  <c:pt idx="12">
                    <c:v>Other</c:v>
                  </c:pt>
                  <c:pt idx="13">
                    <c:v>Male</c:v>
                  </c:pt>
                  <c:pt idx="14">
                    <c:v>Other</c:v>
                  </c:pt>
                  <c:pt idx="15">
                    <c:v>Other</c:v>
                  </c:pt>
                  <c:pt idx="16">
                    <c:v>Other</c:v>
                  </c:pt>
                  <c:pt idx="17">
                    <c:v>Other</c:v>
                  </c:pt>
                  <c:pt idx="18">
                    <c:v>Female</c:v>
                  </c:pt>
                  <c:pt idx="19">
                    <c:v>Other</c:v>
                  </c:pt>
                  <c:pt idx="20">
                    <c:v>Male</c:v>
                  </c:pt>
                  <c:pt idx="21">
                    <c:v>Female</c:v>
                  </c:pt>
                  <c:pt idx="22">
                    <c:v>Other</c:v>
                  </c:pt>
                  <c:pt idx="23">
                    <c:v>Female</c:v>
                  </c:pt>
                  <c:pt idx="24">
                    <c:v>Male</c:v>
                  </c:pt>
                  <c:pt idx="25">
                    <c:v>Male</c:v>
                  </c:pt>
                  <c:pt idx="26">
                    <c:v>Male</c:v>
                  </c:pt>
                  <c:pt idx="27">
                    <c:v>Male</c:v>
                  </c:pt>
                  <c:pt idx="28">
                    <c:v>Other</c:v>
                  </c:pt>
                  <c:pt idx="29">
                    <c:v>Female</c:v>
                  </c:pt>
                </c:lvl>
                <c:lvl>
                  <c:pt idx="0">
                    <c:v>46</c:v>
                  </c:pt>
                  <c:pt idx="1">
                    <c:v>59</c:v>
                  </c:pt>
                  <c:pt idx="2">
                    <c:v>61</c:v>
                  </c:pt>
                  <c:pt idx="3">
                    <c:v>69</c:v>
                  </c:pt>
                  <c:pt idx="4">
                    <c:v>29</c:v>
                  </c:pt>
                  <c:pt idx="5">
                    <c:v>60</c:v>
                  </c:pt>
                  <c:pt idx="6">
                    <c:v>69</c:v>
                  </c:pt>
                  <c:pt idx="7">
                    <c:v>45</c:v>
                  </c:pt>
                  <c:pt idx="8">
                    <c:v>37</c:v>
                  </c:pt>
                  <c:pt idx="9">
                    <c:v>67</c:v>
                  </c:pt>
                  <c:pt idx="10">
                    <c:v>36</c:v>
                  </c:pt>
                  <c:pt idx="11">
                    <c:v>61</c:v>
                  </c:pt>
                  <c:pt idx="12">
                    <c:v>65</c:v>
                  </c:pt>
                  <c:pt idx="13">
                    <c:v>35</c:v>
                  </c:pt>
                  <c:pt idx="14">
                    <c:v>20</c:v>
                  </c:pt>
                  <c:pt idx="15">
                    <c:v>46</c:v>
                  </c:pt>
                  <c:pt idx="16">
                    <c:v>21</c:v>
                  </c:pt>
                  <c:pt idx="17">
                    <c:v>23</c:v>
                  </c:pt>
                  <c:pt idx="18">
                    <c:v>52</c:v>
                  </c:pt>
                  <c:pt idx="19">
                    <c:v>46</c:v>
                  </c:pt>
                  <c:pt idx="20">
                    <c:v>60</c:v>
                  </c:pt>
                  <c:pt idx="21">
                    <c:v>54</c:v>
                  </c:pt>
                  <c:pt idx="22">
                    <c:v>29</c:v>
                  </c:pt>
                  <c:pt idx="23">
                    <c:v>45</c:v>
                  </c:pt>
                  <c:pt idx="24">
                    <c:v>38</c:v>
                  </c:pt>
                  <c:pt idx="25">
                    <c:v>52</c:v>
                  </c:pt>
                  <c:pt idx="26">
                    <c:v>66</c:v>
                  </c:pt>
                  <c:pt idx="27">
                    <c:v>34</c:v>
                  </c:pt>
                  <c:pt idx="28">
                    <c:v>52</c:v>
                  </c:pt>
                  <c:pt idx="29">
                    <c:v>68</c:v>
                  </c:pt>
                </c:lvl>
                <c:lvl>
                  <c:pt idx="0">
                    <c:v>New Juan</c:v>
                  </c:pt>
                  <c:pt idx="1">
                    <c:v>South Julie</c:v>
                  </c:pt>
                  <c:pt idx="2">
                    <c:v>West Carrieview</c:v>
                  </c:pt>
                  <c:pt idx="3">
                    <c:v>Christianberg</c:v>
                  </c:pt>
                  <c:pt idx="4">
                    <c:v>South Williamhaven</c:v>
                  </c:pt>
                  <c:pt idx="5">
                    <c:v>Stephenfort</c:v>
                  </c:pt>
                  <c:pt idx="6">
                    <c:v>North Terristad</c:v>
                  </c:pt>
                  <c:pt idx="7">
                    <c:v>Pachecotown</c:v>
                  </c:pt>
                  <c:pt idx="8">
                    <c:v>Port Philipberg</c:v>
                  </c:pt>
                  <c:pt idx="9">
                    <c:v>Jenniferfurt</c:v>
                  </c:pt>
                  <c:pt idx="10">
                    <c:v>Lake Carolyn</c:v>
                  </c:pt>
                  <c:pt idx="11">
                    <c:v>Amandaborough</c:v>
                  </c:pt>
                  <c:pt idx="12">
                    <c:v>South Maria</c:v>
                  </c:pt>
                  <c:pt idx="13">
                    <c:v>West Marissa</c:v>
                  </c:pt>
                  <c:pt idx="14">
                    <c:v>Austinburgh</c:v>
                  </c:pt>
                  <c:pt idx="15">
                    <c:v>Lake Jesse</c:v>
                  </c:pt>
                  <c:pt idx="16">
                    <c:v>Marioburgh</c:v>
                  </c:pt>
                  <c:pt idx="17">
                    <c:v>Ryanhaven</c:v>
                  </c:pt>
                  <c:pt idx="18">
                    <c:v>Dickersonmouth</c:v>
                  </c:pt>
                  <c:pt idx="19">
                    <c:v>Annaborough</c:v>
                  </c:pt>
                  <c:pt idx="20">
                    <c:v>Ramirezburgh</c:v>
                  </c:pt>
                  <c:pt idx="21">
                    <c:v>Sextonberg</c:v>
                  </c:pt>
                  <c:pt idx="22">
                    <c:v>Beasleyshire</c:v>
                  </c:pt>
                  <c:pt idx="23">
                    <c:v>Lake Brittneyland</c:v>
                  </c:pt>
                  <c:pt idx="24">
                    <c:v>South John</c:v>
                  </c:pt>
                  <c:pt idx="25">
                    <c:v>New Devin</c:v>
                  </c:pt>
                  <c:pt idx="26">
                    <c:v>Lake Denise</c:v>
                  </c:pt>
                  <c:pt idx="27">
                    <c:v>South Susan</c:v>
                  </c:pt>
                  <c:pt idx="28">
                    <c:v>Johnsonchester</c:v>
                  </c:pt>
                  <c:pt idx="29">
                    <c:v>Martinberg</c:v>
                  </c:pt>
                </c:lvl>
                <c:lvl>
                  <c:pt idx="0">
                    <c:v>22-12-2023 10:35</c:v>
                  </c:pt>
                  <c:pt idx="1">
                    <c:v>05-05-2024 10:40</c:v>
                  </c:pt>
                  <c:pt idx="2">
                    <c:v>04-12-2023 05:22</c:v>
                  </c:pt>
                  <c:pt idx="3">
                    <c:v>02-01-2024 11:11</c:v>
                  </c:pt>
                  <c:pt idx="4">
                    <c:v>18-06-2024 01:01</c:v>
                  </c:pt>
                  <c:pt idx="5">
                    <c:v>06-03-2024 06:15</c:v>
                  </c:pt>
                  <c:pt idx="6">
                    <c:v>15-10-2023 13:30</c:v>
                  </c:pt>
                  <c:pt idx="7">
                    <c:v>16-05-2024 01:46</c:v>
                  </c:pt>
                  <c:pt idx="8">
                    <c:v>04-08-2024 17:13</c:v>
                  </c:pt>
                  <c:pt idx="9">
                    <c:v>18-12-2023 18:38</c:v>
                  </c:pt>
                  <c:pt idx="10">
                    <c:v>26-05-2024 02:56</c:v>
                  </c:pt>
                  <c:pt idx="11">
                    <c:v>26-09-2023 05:18</c:v>
                  </c:pt>
                  <c:pt idx="12">
                    <c:v>13-12-2023 23:53</c:v>
                  </c:pt>
                  <c:pt idx="13">
                    <c:v>02-12-2023 07:44</c:v>
                  </c:pt>
                  <c:pt idx="14">
                    <c:v>01-03-2024 17:49</c:v>
                  </c:pt>
                  <c:pt idx="15">
                    <c:v>12-08-2024 12:13</c:v>
                  </c:pt>
                  <c:pt idx="16">
                    <c:v>24-07-2024 08:49</c:v>
                  </c:pt>
                  <c:pt idx="17">
                    <c:v>14-06-2024 18:03</c:v>
                  </c:pt>
                  <c:pt idx="18">
                    <c:v>02-03-2024 05:18</c:v>
                  </c:pt>
                  <c:pt idx="19">
                    <c:v>19-05-2024 13:22</c:v>
                  </c:pt>
                  <c:pt idx="20">
                    <c:v>13-05-2024 10:04</c:v>
                  </c:pt>
                  <c:pt idx="21">
                    <c:v>05-04-2024 20:50</c:v>
                  </c:pt>
                  <c:pt idx="22">
                    <c:v>17-11-2023 05:30</c:v>
                  </c:pt>
                  <c:pt idx="23">
                    <c:v>05-08-2024 14:07</c:v>
                  </c:pt>
                  <c:pt idx="24">
                    <c:v>24-02-2024 01:14</c:v>
                  </c:pt>
                  <c:pt idx="25">
                    <c:v>04-03-2024 09:18</c:v>
                  </c:pt>
                  <c:pt idx="26">
                    <c:v>26-10-2023 07:12</c:v>
                  </c:pt>
                  <c:pt idx="27">
                    <c:v>04-08-2024 12:39</c:v>
                  </c:pt>
                  <c:pt idx="28">
                    <c:v>06-05-2024 01:39</c:v>
                  </c:pt>
                  <c:pt idx="29">
                    <c:v>23-10-2023 11:34</c:v>
                  </c:pt>
                </c:lvl>
                <c:lvl>
                  <c:pt idx="0">
                    <c:v>0.13</c:v>
                  </c:pt>
                  <c:pt idx="1">
                    <c:v>0.06</c:v>
                  </c:pt>
                  <c:pt idx="2">
                    <c:v>0.24</c:v>
                  </c:pt>
                  <c:pt idx="3">
                    <c:v>0.01</c:v>
                  </c:pt>
                  <c:pt idx="4">
                    <c:v>0.14</c:v>
                  </c:pt>
                  <c:pt idx="5">
                    <c:v>0.18</c:v>
                  </c:pt>
                  <c:pt idx="6">
                    <c:v>0.09</c:v>
                  </c:pt>
                  <c:pt idx="7">
                    <c:v>0.29</c:v>
                  </c:pt>
                  <c:pt idx="8">
                    <c:v>0.12</c:v>
                  </c:pt>
                  <c:pt idx="9">
                    <c:v>0.23</c:v>
                  </c:pt>
                  <c:pt idx="10">
                    <c:v>0.06</c:v>
                  </c:pt>
                  <c:pt idx="11">
                    <c:v>0.05</c:v>
                  </c:pt>
                  <c:pt idx="12">
                    <c:v>0.25</c:v>
                  </c:pt>
                  <c:pt idx="13">
                    <c:v>0.15</c:v>
                  </c:pt>
                  <c:pt idx="14">
                    <c:v>0.26</c:v>
                  </c:pt>
                  <c:pt idx="15">
                    <c:v>0.22</c:v>
                  </c:pt>
                  <c:pt idx="16">
                    <c:v>0.19</c:v>
                  </c:pt>
                  <c:pt idx="17">
                    <c:v>0.26</c:v>
                  </c:pt>
                  <c:pt idx="18">
                    <c:v>0.12</c:v>
                  </c:pt>
                  <c:pt idx="19">
                    <c:v>0.28</c:v>
                  </c:pt>
                  <c:pt idx="20">
                    <c:v>0.04</c:v>
                  </c:pt>
                  <c:pt idx="21">
                    <c:v>0.04</c:v>
                  </c:pt>
                  <c:pt idx="22">
                    <c:v>0.04</c:v>
                  </c:pt>
                  <c:pt idx="23">
                    <c:v>0.15</c:v>
                  </c:pt>
                  <c:pt idx="24">
                    <c:v>0.28</c:v>
                  </c:pt>
                  <c:pt idx="25">
                    <c:v>0.2</c:v>
                  </c:pt>
                  <c:pt idx="26">
                    <c:v>0.11</c:v>
                  </c:pt>
                  <c:pt idx="27">
                    <c:v>0.05</c:v>
                  </c:pt>
                  <c:pt idx="28">
                    <c:v>0.11</c:v>
                  </c:pt>
                  <c:pt idx="29">
                    <c:v>0.01</c:v>
                  </c:pt>
                </c:lvl>
                <c:lvl>
                  <c:pt idx="0">
                    <c:v>801.66</c:v>
                  </c:pt>
                  <c:pt idx="1">
                    <c:v>225.03</c:v>
                  </c:pt>
                  <c:pt idx="2">
                    <c:v>544.99</c:v>
                  </c:pt>
                  <c:pt idx="3">
                    <c:v>157.02</c:v>
                  </c:pt>
                  <c:pt idx="4">
                    <c:v>155.51</c:v>
                  </c:pt>
                  <c:pt idx="5">
                    <c:v>225.65</c:v>
                  </c:pt>
                  <c:pt idx="6">
                    <c:v>631.96</c:v>
                  </c:pt>
                  <c:pt idx="7">
                    <c:v>522.87</c:v>
                  </c:pt>
                  <c:pt idx="8">
                    <c:v>202.66</c:v>
                  </c:pt>
                  <c:pt idx="9">
                    <c:v>401.52</c:v>
                  </c:pt>
                  <c:pt idx="10">
                    <c:v>346.31</c:v>
                  </c:pt>
                  <c:pt idx="11">
                    <c:v>434.15</c:v>
                  </c:pt>
                  <c:pt idx="12">
                    <c:v>189.87</c:v>
                  </c:pt>
                  <c:pt idx="13">
                    <c:v>559.1</c:v>
                  </c:pt>
                  <c:pt idx="14">
                    <c:v>29.01</c:v>
                  </c:pt>
                  <c:pt idx="15">
                    <c:v>541.5</c:v>
                  </c:pt>
                  <c:pt idx="16">
                    <c:v>218.68</c:v>
                  </c:pt>
                  <c:pt idx="17">
                    <c:v>439.07</c:v>
                  </c:pt>
                  <c:pt idx="18">
                    <c:v>849.82</c:v>
                  </c:pt>
                  <c:pt idx="19">
                    <c:v>886.69</c:v>
                  </c:pt>
                  <c:pt idx="20">
                    <c:v>137.79</c:v>
                  </c:pt>
                  <c:pt idx="21">
                    <c:v>6.58</c:v>
                  </c:pt>
                  <c:pt idx="22">
                    <c:v>888.2</c:v>
                  </c:pt>
                  <c:pt idx="23">
                    <c:v>109.35</c:v>
                  </c:pt>
                  <c:pt idx="24">
                    <c:v>144.08</c:v>
                  </c:pt>
                  <c:pt idx="25">
                    <c:v>576.59</c:v>
                  </c:pt>
                  <c:pt idx="26">
                    <c:v>954.41</c:v>
                  </c:pt>
                  <c:pt idx="27">
                    <c:v>513.82</c:v>
                  </c:pt>
                  <c:pt idx="28">
                    <c:v>767.89</c:v>
                  </c:pt>
                  <c:pt idx="29">
                    <c:v>653.79</c:v>
                  </c:pt>
                </c:lvl>
                <c:lvl>
                  <c:pt idx="0">
                    <c:v>Cash on Delivery</c:v>
                  </c:pt>
                  <c:pt idx="1">
                    <c:v>Debit Card</c:v>
                  </c:pt>
                  <c:pt idx="2">
                    <c:v>Debit Card</c:v>
                  </c:pt>
                  <c:pt idx="3">
                    <c:v>Bank Transfer</c:v>
                  </c:pt>
                  <c:pt idx="4">
                    <c:v>Debit Card</c:v>
                  </c:pt>
                  <c:pt idx="5">
                    <c:v>Bank Transfer</c:v>
                  </c:pt>
                  <c:pt idx="6">
                    <c:v>Credit Card</c:v>
                  </c:pt>
                  <c:pt idx="7">
                    <c:v>Cash on Delivery</c:v>
                  </c:pt>
                  <c:pt idx="8">
                    <c:v>Cash on Delivery</c:v>
                  </c:pt>
                  <c:pt idx="9">
                    <c:v>Cash on Delivery</c:v>
                  </c:pt>
                  <c:pt idx="10">
                    <c:v>Cash on Delivery</c:v>
                  </c:pt>
                  <c:pt idx="11">
                    <c:v>Bank Transfer</c:v>
                  </c:pt>
                  <c:pt idx="12">
                    <c:v>Credit Card</c:v>
                  </c:pt>
                  <c:pt idx="13">
                    <c:v>Debit Card</c:v>
                  </c:pt>
                  <c:pt idx="14">
                    <c:v>Cash on Delivery</c:v>
                  </c:pt>
                  <c:pt idx="15">
                    <c:v>Bank Transfer</c:v>
                  </c:pt>
                  <c:pt idx="16">
                    <c:v>Credit Card</c:v>
                  </c:pt>
                  <c:pt idx="17">
                    <c:v>PayPal</c:v>
                  </c:pt>
                  <c:pt idx="18">
                    <c:v>Cash on Delivery</c:v>
                  </c:pt>
                  <c:pt idx="19">
                    <c:v>Debit Card</c:v>
                  </c:pt>
                  <c:pt idx="20">
                    <c:v>Credit Card</c:v>
                  </c:pt>
                  <c:pt idx="21">
                    <c:v>PayPal</c:v>
                  </c:pt>
                  <c:pt idx="22">
                    <c:v>Cash on Delivery</c:v>
                  </c:pt>
                  <c:pt idx="23">
                    <c:v>Debit Card</c:v>
                  </c:pt>
                  <c:pt idx="24">
                    <c:v>Cash on Delivery</c:v>
                  </c:pt>
                  <c:pt idx="25">
                    <c:v>Bank Transfer</c:v>
                  </c:pt>
                  <c:pt idx="26">
                    <c:v>PayPal</c:v>
                  </c:pt>
                  <c:pt idx="27">
                    <c:v>Credit Card</c:v>
                  </c:pt>
                  <c:pt idx="28">
                    <c:v>Credit Card</c:v>
                  </c:pt>
                  <c:pt idx="29">
                    <c:v>Cash on Delivery</c:v>
                  </c:pt>
                </c:lvl>
                <c:lvl>
                  <c:pt idx="0">
                    <c:v>Clothing</c:v>
                  </c:pt>
                  <c:pt idx="1">
                    <c:v>Beauty</c:v>
                  </c:pt>
                  <c:pt idx="2">
                    <c:v>Toys</c:v>
                  </c:pt>
                  <c:pt idx="3">
                    <c:v>Beauty</c:v>
                  </c:pt>
                  <c:pt idx="4">
                    <c:v>Electronics</c:v>
                  </c:pt>
                  <c:pt idx="5">
                    <c:v>Books</c:v>
                  </c:pt>
                  <c:pt idx="6">
                    <c:v>Beauty</c:v>
                  </c:pt>
                  <c:pt idx="7">
                    <c:v>Sports</c:v>
                  </c:pt>
                  <c:pt idx="8">
                    <c:v>Books</c:v>
                  </c:pt>
                  <c:pt idx="9">
                    <c:v>Toys</c:v>
                  </c:pt>
                  <c:pt idx="10">
                    <c:v>Clothing</c:v>
                  </c:pt>
                  <c:pt idx="11">
                    <c:v>Sports</c:v>
                  </c:pt>
                  <c:pt idx="12">
                    <c:v>Electronics</c:v>
                  </c:pt>
                  <c:pt idx="13">
                    <c:v>Home &amp; Kitchen</c:v>
                  </c:pt>
                  <c:pt idx="14">
                    <c:v>Toys</c:v>
                  </c:pt>
                  <c:pt idx="15">
                    <c:v>Toys</c:v>
                  </c:pt>
                  <c:pt idx="16">
                    <c:v>Beauty</c:v>
                  </c:pt>
                  <c:pt idx="17">
                    <c:v>Clothing</c:v>
                  </c:pt>
                  <c:pt idx="18">
                    <c:v>Books</c:v>
                  </c:pt>
                  <c:pt idx="19">
                    <c:v>Electronics</c:v>
                  </c:pt>
                  <c:pt idx="20">
                    <c:v>Toys</c:v>
                  </c:pt>
                  <c:pt idx="21">
                    <c:v>Electronics</c:v>
                  </c:pt>
                  <c:pt idx="22">
                    <c:v>Toys</c:v>
                  </c:pt>
                  <c:pt idx="23">
                    <c:v>Toys</c:v>
                  </c:pt>
                  <c:pt idx="24">
                    <c:v>Electronics</c:v>
                  </c:pt>
                  <c:pt idx="25">
                    <c:v>Sports</c:v>
                  </c:pt>
                  <c:pt idx="26">
                    <c:v>Electronics</c:v>
                  </c:pt>
                  <c:pt idx="27">
                    <c:v>Home &amp; Kitchen</c:v>
                  </c:pt>
                  <c:pt idx="28">
                    <c:v>Sports</c:v>
                  </c:pt>
                  <c:pt idx="29">
                    <c:v>Beauty</c:v>
                  </c:pt>
                </c:lvl>
                <c:lvl>
                  <c:pt idx="0">
                    <c:v>295</c:v>
                  </c:pt>
                  <c:pt idx="1">
                    <c:v>546</c:v>
                  </c:pt>
                  <c:pt idx="2">
                    <c:v>430</c:v>
                  </c:pt>
                  <c:pt idx="3">
                    <c:v>807</c:v>
                  </c:pt>
                  <c:pt idx="4">
                    <c:v>319</c:v>
                  </c:pt>
                  <c:pt idx="5">
                    <c:v>282</c:v>
                  </c:pt>
                  <c:pt idx="6">
                    <c:v>276</c:v>
                  </c:pt>
                  <c:pt idx="7">
                    <c:v>574</c:v>
                  </c:pt>
                  <c:pt idx="8">
                    <c:v>948</c:v>
                  </c:pt>
                  <c:pt idx="9">
                    <c:v>459</c:v>
                  </c:pt>
                  <c:pt idx="10">
                    <c:v>745</c:v>
                  </c:pt>
                  <c:pt idx="11">
                    <c:v>564</c:v>
                  </c:pt>
                  <c:pt idx="12">
                    <c:v>334</c:v>
                  </c:pt>
                  <c:pt idx="13">
                    <c:v>536</c:v>
                  </c:pt>
                  <c:pt idx="14">
                    <c:v>239</c:v>
                  </c:pt>
                  <c:pt idx="15">
                    <c:v>587</c:v>
                  </c:pt>
                  <c:pt idx="16">
                    <c:v>868</c:v>
                  </c:pt>
                  <c:pt idx="17">
                    <c:v>384</c:v>
                  </c:pt>
                  <c:pt idx="18">
                    <c:v>701</c:v>
                  </c:pt>
                  <c:pt idx="19">
                    <c:v>427</c:v>
                  </c:pt>
                  <c:pt idx="20">
                    <c:v>150</c:v>
                  </c:pt>
                  <c:pt idx="21">
                    <c:v>797</c:v>
                  </c:pt>
                  <c:pt idx="22">
                    <c:v>577</c:v>
                  </c:pt>
                  <c:pt idx="23">
                    <c:v>385</c:v>
                  </c:pt>
                  <c:pt idx="24">
                    <c:v>419</c:v>
                  </c:pt>
                  <c:pt idx="25">
                    <c:v>733</c:v>
                  </c:pt>
                  <c:pt idx="26">
                    <c:v>278</c:v>
                  </c:pt>
                  <c:pt idx="27">
                    <c:v>231</c:v>
                  </c:pt>
                  <c:pt idx="28">
                    <c:v>699</c:v>
                  </c:pt>
                  <c:pt idx="29">
                    <c:v>829</c:v>
                  </c:pt>
                </c:lvl>
                <c:lvl>
                  <c:pt idx="0">
                    <c:v>8270</c:v>
                  </c:pt>
                  <c:pt idx="1">
                    <c:v>1860</c:v>
                  </c:pt>
                  <c:pt idx="2">
                    <c:v>6390</c:v>
                  </c:pt>
                  <c:pt idx="3">
                    <c:v>6191</c:v>
                  </c:pt>
                  <c:pt idx="4">
                    <c:v>6734</c:v>
                  </c:pt>
                  <c:pt idx="5">
                    <c:v>7265</c:v>
                  </c:pt>
                  <c:pt idx="6">
                    <c:v>1466</c:v>
                  </c:pt>
                  <c:pt idx="7">
                    <c:v>5426</c:v>
                  </c:pt>
                  <c:pt idx="8">
                    <c:v>6578</c:v>
                  </c:pt>
                  <c:pt idx="9">
                    <c:v>9322</c:v>
                  </c:pt>
                  <c:pt idx="10">
                    <c:v>2685</c:v>
                  </c:pt>
                  <c:pt idx="11">
                    <c:v>1769</c:v>
                  </c:pt>
                  <c:pt idx="12">
                    <c:v>7949</c:v>
                  </c:pt>
                  <c:pt idx="13">
                    <c:v>3433</c:v>
                  </c:pt>
                  <c:pt idx="14">
                    <c:v>6311</c:v>
                  </c:pt>
                  <c:pt idx="15">
                    <c:v>6051</c:v>
                  </c:pt>
                  <c:pt idx="16">
                    <c:v>7420</c:v>
                  </c:pt>
                  <c:pt idx="17">
                    <c:v>2184</c:v>
                  </c:pt>
                  <c:pt idx="18">
                    <c:v>5555</c:v>
                  </c:pt>
                  <c:pt idx="19">
                    <c:v>4385</c:v>
                  </c:pt>
                  <c:pt idx="20">
                    <c:v>7396</c:v>
                  </c:pt>
                  <c:pt idx="21">
                    <c:v>9666</c:v>
                  </c:pt>
                  <c:pt idx="22">
                    <c:v>3558</c:v>
                  </c:pt>
                  <c:pt idx="23">
                    <c:v>8849</c:v>
                  </c:pt>
                  <c:pt idx="24">
                    <c:v>3047</c:v>
                  </c:pt>
                  <c:pt idx="25">
                    <c:v>3747</c:v>
                  </c:pt>
                  <c:pt idx="26">
                    <c:v>1189</c:v>
                  </c:pt>
                  <c:pt idx="27">
                    <c:v>3734</c:v>
                  </c:pt>
                  <c:pt idx="28">
                    <c:v>4005</c:v>
                  </c:pt>
                  <c:pt idx="29">
                    <c:v>5658</c:v>
                  </c:pt>
                </c:lvl>
                <c:lvl>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lvl>
              </c:multiLvlStrCache>
            </c:multiLvlStrRef>
          </c:cat>
          <c:val>
            <c:numRef>
              <c:f>ecommerce_sales_data!$N$2:$N$31</c:f>
              <c:numCache>
                <c:formatCode>General</c:formatCode>
                <c:ptCount val="30"/>
                <c:pt idx="0">
                  <c:v>83.36</c:v>
                </c:pt>
                <c:pt idx="1">
                  <c:v>58.88</c:v>
                </c:pt>
                <c:pt idx="2">
                  <c:v>53.99</c:v>
                </c:pt>
                <c:pt idx="3">
                  <c:v>11.73</c:v>
                </c:pt>
                <c:pt idx="4">
                  <c:v>34.79</c:v>
                </c:pt>
                <c:pt idx="5">
                  <c:v>25.78</c:v>
                </c:pt>
                <c:pt idx="6">
                  <c:v>68.36</c:v>
                </c:pt>
                <c:pt idx="7">
                  <c:v>19.23</c:v>
                </c:pt>
                <c:pt idx="8">
                  <c:v>28.61</c:v>
                </c:pt>
                <c:pt idx="9">
                  <c:v>35.18</c:v>
                </c:pt>
                <c:pt idx="10">
                  <c:v>76.819999999999993</c:v>
                </c:pt>
                <c:pt idx="11">
                  <c:v>26.24</c:v>
                </c:pt>
                <c:pt idx="12">
                  <c:v>39.909999999999997</c:v>
                </c:pt>
                <c:pt idx="13">
                  <c:v>69.39</c:v>
                </c:pt>
                <c:pt idx="14">
                  <c:v>10.33</c:v>
                </c:pt>
                <c:pt idx="15">
                  <c:v>41.77</c:v>
                </c:pt>
                <c:pt idx="16">
                  <c:v>9.93</c:v>
                </c:pt>
                <c:pt idx="17">
                  <c:v>97.73</c:v>
                </c:pt>
                <c:pt idx="18">
                  <c:v>54.32</c:v>
                </c:pt>
                <c:pt idx="19">
                  <c:v>57.35</c:v>
                </c:pt>
                <c:pt idx="20">
                  <c:v>41.08</c:v>
                </c:pt>
                <c:pt idx="21">
                  <c:v>88.02</c:v>
                </c:pt>
                <c:pt idx="22">
                  <c:v>67.510000000000005</c:v>
                </c:pt>
                <c:pt idx="23">
                  <c:v>18.760000000000002</c:v>
                </c:pt>
                <c:pt idx="24">
                  <c:v>33.4</c:v>
                </c:pt>
                <c:pt idx="25">
                  <c:v>21.91</c:v>
                </c:pt>
                <c:pt idx="26">
                  <c:v>81.489999999999995</c:v>
                </c:pt>
                <c:pt idx="27">
                  <c:v>77.27</c:v>
                </c:pt>
                <c:pt idx="28">
                  <c:v>26.78</c:v>
                </c:pt>
                <c:pt idx="29">
                  <c:v>39.340000000000003</c:v>
                </c:pt>
              </c:numCache>
            </c:numRef>
          </c:val>
          <c:extLst>
            <c:ext xmlns:c16="http://schemas.microsoft.com/office/drawing/2014/chart" uri="{C3380CC4-5D6E-409C-BE32-E72D297353CC}">
              <c16:uniqueId val="{0000003C-D796-4062-942B-87358805DCD3}"/>
            </c:ext>
          </c:extLst>
        </c:ser>
        <c:ser>
          <c:idx val="1"/>
          <c:order val="1"/>
          <c:tx>
            <c:strRef>
              <c:f>ecommerce_sales_data!$O$1</c:f>
              <c:strCache>
                <c:ptCount val="1"/>
                <c:pt idx="0">
                  <c:v>Quantity</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3E-D796-4062-942B-87358805DCD3}"/>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40-D796-4062-942B-87358805DCD3}"/>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42-D796-4062-942B-87358805DCD3}"/>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44-D796-4062-942B-87358805DCD3}"/>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46-D796-4062-942B-87358805DCD3}"/>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48-D796-4062-942B-87358805DCD3}"/>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A-D796-4062-942B-87358805DCD3}"/>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C-D796-4062-942B-87358805DCD3}"/>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E-D796-4062-942B-87358805DCD3}"/>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50-D796-4062-942B-87358805DCD3}"/>
              </c:ext>
            </c:extLst>
          </c:dPt>
          <c:dPt>
            <c:idx val="10"/>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52-D796-4062-942B-87358805DCD3}"/>
              </c:ext>
            </c:extLst>
          </c:dPt>
          <c:dPt>
            <c:idx val="11"/>
            <c:bubble3D val="0"/>
            <c:spPr>
              <a:solidFill>
                <a:schemeClr val="accent6">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54-D796-4062-942B-87358805DCD3}"/>
              </c:ext>
            </c:extLst>
          </c:dPt>
          <c:dPt>
            <c:idx val="12"/>
            <c:bubble3D val="0"/>
            <c:spPr>
              <a:solidFill>
                <a:schemeClr val="accent1">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56-D796-4062-942B-87358805DCD3}"/>
              </c:ext>
            </c:extLst>
          </c:dPt>
          <c:dPt>
            <c:idx val="13"/>
            <c:bubble3D val="0"/>
            <c:spPr>
              <a:solidFill>
                <a:schemeClr val="accent2">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58-D796-4062-942B-87358805DCD3}"/>
              </c:ext>
            </c:extLst>
          </c:dPt>
          <c:dPt>
            <c:idx val="14"/>
            <c:bubble3D val="0"/>
            <c:spPr>
              <a:solidFill>
                <a:schemeClr val="accent3">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5A-D796-4062-942B-87358805DCD3}"/>
              </c:ext>
            </c:extLst>
          </c:dPt>
          <c:dPt>
            <c:idx val="15"/>
            <c:bubble3D val="0"/>
            <c:spPr>
              <a:solidFill>
                <a:schemeClr val="accent4">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5C-D796-4062-942B-87358805DCD3}"/>
              </c:ext>
            </c:extLst>
          </c:dPt>
          <c:dPt>
            <c:idx val="16"/>
            <c:bubble3D val="0"/>
            <c:spPr>
              <a:solidFill>
                <a:schemeClr val="accent5">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5E-D796-4062-942B-87358805DCD3}"/>
              </c:ext>
            </c:extLst>
          </c:dPt>
          <c:dPt>
            <c:idx val="17"/>
            <c:bubble3D val="0"/>
            <c:spPr>
              <a:solidFill>
                <a:schemeClr val="accent6">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60-D796-4062-942B-87358805DCD3}"/>
              </c:ext>
            </c:extLst>
          </c:dPt>
          <c:dPt>
            <c:idx val="18"/>
            <c:bubble3D val="0"/>
            <c:spPr>
              <a:solidFill>
                <a:schemeClr val="accent1">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62-D796-4062-942B-87358805DCD3}"/>
              </c:ext>
            </c:extLst>
          </c:dPt>
          <c:dPt>
            <c:idx val="19"/>
            <c:bubble3D val="0"/>
            <c:spPr>
              <a:solidFill>
                <a:schemeClr val="accent2">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64-D796-4062-942B-87358805DCD3}"/>
              </c:ext>
            </c:extLst>
          </c:dPt>
          <c:dPt>
            <c:idx val="20"/>
            <c:bubble3D val="0"/>
            <c:spPr>
              <a:solidFill>
                <a:schemeClr val="accent3">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66-D796-4062-942B-87358805DCD3}"/>
              </c:ext>
            </c:extLst>
          </c:dPt>
          <c:dPt>
            <c:idx val="21"/>
            <c:bubble3D val="0"/>
            <c:spPr>
              <a:solidFill>
                <a:schemeClr val="accent4">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68-D796-4062-942B-87358805DCD3}"/>
              </c:ext>
            </c:extLst>
          </c:dPt>
          <c:dPt>
            <c:idx val="22"/>
            <c:bubble3D val="0"/>
            <c:spPr>
              <a:solidFill>
                <a:schemeClr val="accent5">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6A-D796-4062-942B-87358805DCD3}"/>
              </c:ext>
            </c:extLst>
          </c:dPt>
          <c:dPt>
            <c:idx val="23"/>
            <c:bubble3D val="0"/>
            <c:spPr>
              <a:solidFill>
                <a:schemeClr val="accent6">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6C-D796-4062-942B-87358805DCD3}"/>
              </c:ext>
            </c:extLst>
          </c:dPt>
          <c:dPt>
            <c:idx val="24"/>
            <c:bubble3D val="0"/>
            <c:spPr>
              <a:solidFill>
                <a:schemeClr val="accent1">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6E-D796-4062-942B-87358805DCD3}"/>
              </c:ext>
            </c:extLst>
          </c:dPt>
          <c:dPt>
            <c:idx val="25"/>
            <c:bubble3D val="0"/>
            <c:spPr>
              <a:solidFill>
                <a:schemeClr val="accent2">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70-D796-4062-942B-87358805DCD3}"/>
              </c:ext>
            </c:extLst>
          </c:dPt>
          <c:dPt>
            <c:idx val="26"/>
            <c:bubble3D val="0"/>
            <c:spPr>
              <a:solidFill>
                <a:schemeClr val="accent3">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72-D796-4062-942B-87358805DCD3}"/>
              </c:ext>
            </c:extLst>
          </c:dPt>
          <c:dPt>
            <c:idx val="27"/>
            <c:bubble3D val="0"/>
            <c:spPr>
              <a:solidFill>
                <a:schemeClr val="accent4">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74-D796-4062-942B-87358805DCD3}"/>
              </c:ext>
            </c:extLst>
          </c:dPt>
          <c:dPt>
            <c:idx val="28"/>
            <c:bubble3D val="0"/>
            <c:spPr>
              <a:solidFill>
                <a:schemeClr val="accent5">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76-D796-4062-942B-87358805DCD3}"/>
              </c:ext>
            </c:extLst>
          </c:dPt>
          <c:dPt>
            <c:idx val="29"/>
            <c:bubble3D val="0"/>
            <c:spPr>
              <a:solidFill>
                <a:schemeClr val="accent6">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78-D796-4062-942B-87358805DCD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multiLvlStrRef>
              <c:f>ecommerce_sales_data!$A$2:$M$31</c:f>
              <c:multiLvlStrCache>
                <c:ptCount val="30"/>
                <c:lvl>
                  <c:pt idx="0">
                    <c:v>Medium</c:v>
                  </c:pt>
                  <c:pt idx="1">
                    <c:v>High</c:v>
                  </c:pt>
                  <c:pt idx="2">
                    <c:v>High</c:v>
                  </c:pt>
                  <c:pt idx="3">
                    <c:v>Low</c:v>
                  </c:pt>
                  <c:pt idx="4">
                    <c:v>High</c:v>
                  </c:pt>
                  <c:pt idx="5">
                    <c:v>High</c:v>
                  </c:pt>
                  <c:pt idx="6">
                    <c:v>Low</c:v>
                  </c:pt>
                  <c:pt idx="7">
                    <c:v>High</c:v>
                  </c:pt>
                  <c:pt idx="8">
                    <c:v>Low</c:v>
                  </c:pt>
                  <c:pt idx="9">
                    <c:v>Low</c:v>
                  </c:pt>
                  <c:pt idx="10">
                    <c:v>Low</c:v>
                  </c:pt>
                  <c:pt idx="11">
                    <c:v>High</c:v>
                  </c:pt>
                  <c:pt idx="12">
                    <c:v>Low</c:v>
                  </c:pt>
                  <c:pt idx="13">
                    <c:v>Low</c:v>
                  </c:pt>
                  <c:pt idx="14">
                    <c:v>High</c:v>
                  </c:pt>
                  <c:pt idx="15">
                    <c:v>Low</c:v>
                  </c:pt>
                  <c:pt idx="16">
                    <c:v>Medium</c:v>
                  </c:pt>
                  <c:pt idx="17">
                    <c:v>Medium</c:v>
                  </c:pt>
                  <c:pt idx="18">
                    <c:v>Low</c:v>
                  </c:pt>
                  <c:pt idx="19">
                    <c:v>Low</c:v>
                  </c:pt>
                  <c:pt idx="20">
                    <c:v>Medium</c:v>
                  </c:pt>
                  <c:pt idx="21">
                    <c:v>Medium</c:v>
                  </c:pt>
                  <c:pt idx="22">
                    <c:v>Medium</c:v>
                  </c:pt>
                  <c:pt idx="23">
                    <c:v>High</c:v>
                  </c:pt>
                  <c:pt idx="24">
                    <c:v>High</c:v>
                  </c:pt>
                  <c:pt idx="25">
                    <c:v>Low</c:v>
                  </c:pt>
                  <c:pt idx="26">
                    <c:v>Low</c:v>
                  </c:pt>
                  <c:pt idx="27">
                    <c:v>Low</c:v>
                  </c:pt>
                  <c:pt idx="28">
                    <c:v>High</c:v>
                  </c:pt>
                  <c:pt idx="29">
                    <c:v>Low</c:v>
                  </c:pt>
                </c:lvl>
                <c:lvl>
                  <c:pt idx="0">
                    <c:v>Female</c:v>
                  </c:pt>
                  <c:pt idx="1">
                    <c:v>Other</c:v>
                  </c:pt>
                  <c:pt idx="2">
                    <c:v>Female</c:v>
                  </c:pt>
                  <c:pt idx="3">
                    <c:v>Female</c:v>
                  </c:pt>
                  <c:pt idx="4">
                    <c:v>Other</c:v>
                  </c:pt>
                  <c:pt idx="5">
                    <c:v>Male</c:v>
                  </c:pt>
                  <c:pt idx="6">
                    <c:v>Male</c:v>
                  </c:pt>
                  <c:pt idx="7">
                    <c:v>Female</c:v>
                  </c:pt>
                  <c:pt idx="8">
                    <c:v>Male</c:v>
                  </c:pt>
                  <c:pt idx="9">
                    <c:v>Female</c:v>
                  </c:pt>
                  <c:pt idx="10">
                    <c:v>Other</c:v>
                  </c:pt>
                  <c:pt idx="11">
                    <c:v>Other</c:v>
                  </c:pt>
                  <c:pt idx="12">
                    <c:v>Other</c:v>
                  </c:pt>
                  <c:pt idx="13">
                    <c:v>Male</c:v>
                  </c:pt>
                  <c:pt idx="14">
                    <c:v>Other</c:v>
                  </c:pt>
                  <c:pt idx="15">
                    <c:v>Other</c:v>
                  </c:pt>
                  <c:pt idx="16">
                    <c:v>Other</c:v>
                  </c:pt>
                  <c:pt idx="17">
                    <c:v>Other</c:v>
                  </c:pt>
                  <c:pt idx="18">
                    <c:v>Female</c:v>
                  </c:pt>
                  <c:pt idx="19">
                    <c:v>Other</c:v>
                  </c:pt>
                  <c:pt idx="20">
                    <c:v>Male</c:v>
                  </c:pt>
                  <c:pt idx="21">
                    <c:v>Female</c:v>
                  </c:pt>
                  <c:pt idx="22">
                    <c:v>Other</c:v>
                  </c:pt>
                  <c:pt idx="23">
                    <c:v>Female</c:v>
                  </c:pt>
                  <c:pt idx="24">
                    <c:v>Male</c:v>
                  </c:pt>
                  <c:pt idx="25">
                    <c:v>Male</c:v>
                  </c:pt>
                  <c:pt idx="26">
                    <c:v>Male</c:v>
                  </c:pt>
                  <c:pt idx="27">
                    <c:v>Male</c:v>
                  </c:pt>
                  <c:pt idx="28">
                    <c:v>Other</c:v>
                  </c:pt>
                  <c:pt idx="29">
                    <c:v>Female</c:v>
                  </c:pt>
                </c:lvl>
                <c:lvl>
                  <c:pt idx="0">
                    <c:v>46</c:v>
                  </c:pt>
                  <c:pt idx="1">
                    <c:v>59</c:v>
                  </c:pt>
                  <c:pt idx="2">
                    <c:v>61</c:v>
                  </c:pt>
                  <c:pt idx="3">
                    <c:v>69</c:v>
                  </c:pt>
                  <c:pt idx="4">
                    <c:v>29</c:v>
                  </c:pt>
                  <c:pt idx="5">
                    <c:v>60</c:v>
                  </c:pt>
                  <c:pt idx="6">
                    <c:v>69</c:v>
                  </c:pt>
                  <c:pt idx="7">
                    <c:v>45</c:v>
                  </c:pt>
                  <c:pt idx="8">
                    <c:v>37</c:v>
                  </c:pt>
                  <c:pt idx="9">
                    <c:v>67</c:v>
                  </c:pt>
                  <c:pt idx="10">
                    <c:v>36</c:v>
                  </c:pt>
                  <c:pt idx="11">
                    <c:v>61</c:v>
                  </c:pt>
                  <c:pt idx="12">
                    <c:v>65</c:v>
                  </c:pt>
                  <c:pt idx="13">
                    <c:v>35</c:v>
                  </c:pt>
                  <c:pt idx="14">
                    <c:v>20</c:v>
                  </c:pt>
                  <c:pt idx="15">
                    <c:v>46</c:v>
                  </c:pt>
                  <c:pt idx="16">
                    <c:v>21</c:v>
                  </c:pt>
                  <c:pt idx="17">
                    <c:v>23</c:v>
                  </c:pt>
                  <c:pt idx="18">
                    <c:v>52</c:v>
                  </c:pt>
                  <c:pt idx="19">
                    <c:v>46</c:v>
                  </c:pt>
                  <c:pt idx="20">
                    <c:v>60</c:v>
                  </c:pt>
                  <c:pt idx="21">
                    <c:v>54</c:v>
                  </c:pt>
                  <c:pt idx="22">
                    <c:v>29</c:v>
                  </c:pt>
                  <c:pt idx="23">
                    <c:v>45</c:v>
                  </c:pt>
                  <c:pt idx="24">
                    <c:v>38</c:v>
                  </c:pt>
                  <c:pt idx="25">
                    <c:v>52</c:v>
                  </c:pt>
                  <c:pt idx="26">
                    <c:v>66</c:v>
                  </c:pt>
                  <c:pt idx="27">
                    <c:v>34</c:v>
                  </c:pt>
                  <c:pt idx="28">
                    <c:v>52</c:v>
                  </c:pt>
                  <c:pt idx="29">
                    <c:v>68</c:v>
                  </c:pt>
                </c:lvl>
                <c:lvl>
                  <c:pt idx="0">
                    <c:v>New Juan</c:v>
                  </c:pt>
                  <c:pt idx="1">
                    <c:v>South Julie</c:v>
                  </c:pt>
                  <c:pt idx="2">
                    <c:v>West Carrieview</c:v>
                  </c:pt>
                  <c:pt idx="3">
                    <c:v>Christianberg</c:v>
                  </c:pt>
                  <c:pt idx="4">
                    <c:v>South Williamhaven</c:v>
                  </c:pt>
                  <c:pt idx="5">
                    <c:v>Stephenfort</c:v>
                  </c:pt>
                  <c:pt idx="6">
                    <c:v>North Terristad</c:v>
                  </c:pt>
                  <c:pt idx="7">
                    <c:v>Pachecotown</c:v>
                  </c:pt>
                  <c:pt idx="8">
                    <c:v>Port Philipberg</c:v>
                  </c:pt>
                  <c:pt idx="9">
                    <c:v>Jenniferfurt</c:v>
                  </c:pt>
                  <c:pt idx="10">
                    <c:v>Lake Carolyn</c:v>
                  </c:pt>
                  <c:pt idx="11">
                    <c:v>Amandaborough</c:v>
                  </c:pt>
                  <c:pt idx="12">
                    <c:v>South Maria</c:v>
                  </c:pt>
                  <c:pt idx="13">
                    <c:v>West Marissa</c:v>
                  </c:pt>
                  <c:pt idx="14">
                    <c:v>Austinburgh</c:v>
                  </c:pt>
                  <c:pt idx="15">
                    <c:v>Lake Jesse</c:v>
                  </c:pt>
                  <c:pt idx="16">
                    <c:v>Marioburgh</c:v>
                  </c:pt>
                  <c:pt idx="17">
                    <c:v>Ryanhaven</c:v>
                  </c:pt>
                  <c:pt idx="18">
                    <c:v>Dickersonmouth</c:v>
                  </c:pt>
                  <c:pt idx="19">
                    <c:v>Annaborough</c:v>
                  </c:pt>
                  <c:pt idx="20">
                    <c:v>Ramirezburgh</c:v>
                  </c:pt>
                  <c:pt idx="21">
                    <c:v>Sextonberg</c:v>
                  </c:pt>
                  <c:pt idx="22">
                    <c:v>Beasleyshire</c:v>
                  </c:pt>
                  <c:pt idx="23">
                    <c:v>Lake Brittneyland</c:v>
                  </c:pt>
                  <c:pt idx="24">
                    <c:v>South John</c:v>
                  </c:pt>
                  <c:pt idx="25">
                    <c:v>New Devin</c:v>
                  </c:pt>
                  <c:pt idx="26">
                    <c:v>Lake Denise</c:v>
                  </c:pt>
                  <c:pt idx="27">
                    <c:v>South Susan</c:v>
                  </c:pt>
                  <c:pt idx="28">
                    <c:v>Johnsonchester</c:v>
                  </c:pt>
                  <c:pt idx="29">
                    <c:v>Martinberg</c:v>
                  </c:pt>
                </c:lvl>
                <c:lvl>
                  <c:pt idx="0">
                    <c:v>22-12-2023 10:35</c:v>
                  </c:pt>
                  <c:pt idx="1">
                    <c:v>05-05-2024 10:40</c:v>
                  </c:pt>
                  <c:pt idx="2">
                    <c:v>04-12-2023 05:22</c:v>
                  </c:pt>
                  <c:pt idx="3">
                    <c:v>02-01-2024 11:11</c:v>
                  </c:pt>
                  <c:pt idx="4">
                    <c:v>18-06-2024 01:01</c:v>
                  </c:pt>
                  <c:pt idx="5">
                    <c:v>06-03-2024 06:15</c:v>
                  </c:pt>
                  <c:pt idx="6">
                    <c:v>15-10-2023 13:30</c:v>
                  </c:pt>
                  <c:pt idx="7">
                    <c:v>16-05-2024 01:46</c:v>
                  </c:pt>
                  <c:pt idx="8">
                    <c:v>04-08-2024 17:13</c:v>
                  </c:pt>
                  <c:pt idx="9">
                    <c:v>18-12-2023 18:38</c:v>
                  </c:pt>
                  <c:pt idx="10">
                    <c:v>26-05-2024 02:56</c:v>
                  </c:pt>
                  <c:pt idx="11">
                    <c:v>26-09-2023 05:18</c:v>
                  </c:pt>
                  <c:pt idx="12">
                    <c:v>13-12-2023 23:53</c:v>
                  </c:pt>
                  <c:pt idx="13">
                    <c:v>02-12-2023 07:44</c:v>
                  </c:pt>
                  <c:pt idx="14">
                    <c:v>01-03-2024 17:49</c:v>
                  </c:pt>
                  <c:pt idx="15">
                    <c:v>12-08-2024 12:13</c:v>
                  </c:pt>
                  <c:pt idx="16">
                    <c:v>24-07-2024 08:49</c:v>
                  </c:pt>
                  <c:pt idx="17">
                    <c:v>14-06-2024 18:03</c:v>
                  </c:pt>
                  <c:pt idx="18">
                    <c:v>02-03-2024 05:18</c:v>
                  </c:pt>
                  <c:pt idx="19">
                    <c:v>19-05-2024 13:22</c:v>
                  </c:pt>
                  <c:pt idx="20">
                    <c:v>13-05-2024 10:04</c:v>
                  </c:pt>
                  <c:pt idx="21">
                    <c:v>05-04-2024 20:50</c:v>
                  </c:pt>
                  <c:pt idx="22">
                    <c:v>17-11-2023 05:30</c:v>
                  </c:pt>
                  <c:pt idx="23">
                    <c:v>05-08-2024 14:07</c:v>
                  </c:pt>
                  <c:pt idx="24">
                    <c:v>24-02-2024 01:14</c:v>
                  </c:pt>
                  <c:pt idx="25">
                    <c:v>04-03-2024 09:18</c:v>
                  </c:pt>
                  <c:pt idx="26">
                    <c:v>26-10-2023 07:12</c:v>
                  </c:pt>
                  <c:pt idx="27">
                    <c:v>04-08-2024 12:39</c:v>
                  </c:pt>
                  <c:pt idx="28">
                    <c:v>06-05-2024 01:39</c:v>
                  </c:pt>
                  <c:pt idx="29">
                    <c:v>23-10-2023 11:34</c:v>
                  </c:pt>
                </c:lvl>
                <c:lvl>
                  <c:pt idx="0">
                    <c:v>0.13</c:v>
                  </c:pt>
                  <c:pt idx="1">
                    <c:v>0.06</c:v>
                  </c:pt>
                  <c:pt idx="2">
                    <c:v>0.24</c:v>
                  </c:pt>
                  <c:pt idx="3">
                    <c:v>0.01</c:v>
                  </c:pt>
                  <c:pt idx="4">
                    <c:v>0.14</c:v>
                  </c:pt>
                  <c:pt idx="5">
                    <c:v>0.18</c:v>
                  </c:pt>
                  <c:pt idx="6">
                    <c:v>0.09</c:v>
                  </c:pt>
                  <c:pt idx="7">
                    <c:v>0.29</c:v>
                  </c:pt>
                  <c:pt idx="8">
                    <c:v>0.12</c:v>
                  </c:pt>
                  <c:pt idx="9">
                    <c:v>0.23</c:v>
                  </c:pt>
                  <c:pt idx="10">
                    <c:v>0.06</c:v>
                  </c:pt>
                  <c:pt idx="11">
                    <c:v>0.05</c:v>
                  </c:pt>
                  <c:pt idx="12">
                    <c:v>0.25</c:v>
                  </c:pt>
                  <c:pt idx="13">
                    <c:v>0.15</c:v>
                  </c:pt>
                  <c:pt idx="14">
                    <c:v>0.26</c:v>
                  </c:pt>
                  <c:pt idx="15">
                    <c:v>0.22</c:v>
                  </c:pt>
                  <c:pt idx="16">
                    <c:v>0.19</c:v>
                  </c:pt>
                  <c:pt idx="17">
                    <c:v>0.26</c:v>
                  </c:pt>
                  <c:pt idx="18">
                    <c:v>0.12</c:v>
                  </c:pt>
                  <c:pt idx="19">
                    <c:v>0.28</c:v>
                  </c:pt>
                  <c:pt idx="20">
                    <c:v>0.04</c:v>
                  </c:pt>
                  <c:pt idx="21">
                    <c:v>0.04</c:v>
                  </c:pt>
                  <c:pt idx="22">
                    <c:v>0.04</c:v>
                  </c:pt>
                  <c:pt idx="23">
                    <c:v>0.15</c:v>
                  </c:pt>
                  <c:pt idx="24">
                    <c:v>0.28</c:v>
                  </c:pt>
                  <c:pt idx="25">
                    <c:v>0.2</c:v>
                  </c:pt>
                  <c:pt idx="26">
                    <c:v>0.11</c:v>
                  </c:pt>
                  <c:pt idx="27">
                    <c:v>0.05</c:v>
                  </c:pt>
                  <c:pt idx="28">
                    <c:v>0.11</c:v>
                  </c:pt>
                  <c:pt idx="29">
                    <c:v>0.01</c:v>
                  </c:pt>
                </c:lvl>
                <c:lvl>
                  <c:pt idx="0">
                    <c:v>801.66</c:v>
                  </c:pt>
                  <c:pt idx="1">
                    <c:v>225.03</c:v>
                  </c:pt>
                  <c:pt idx="2">
                    <c:v>544.99</c:v>
                  </c:pt>
                  <c:pt idx="3">
                    <c:v>157.02</c:v>
                  </c:pt>
                  <c:pt idx="4">
                    <c:v>155.51</c:v>
                  </c:pt>
                  <c:pt idx="5">
                    <c:v>225.65</c:v>
                  </c:pt>
                  <c:pt idx="6">
                    <c:v>631.96</c:v>
                  </c:pt>
                  <c:pt idx="7">
                    <c:v>522.87</c:v>
                  </c:pt>
                  <c:pt idx="8">
                    <c:v>202.66</c:v>
                  </c:pt>
                  <c:pt idx="9">
                    <c:v>401.52</c:v>
                  </c:pt>
                  <c:pt idx="10">
                    <c:v>346.31</c:v>
                  </c:pt>
                  <c:pt idx="11">
                    <c:v>434.15</c:v>
                  </c:pt>
                  <c:pt idx="12">
                    <c:v>189.87</c:v>
                  </c:pt>
                  <c:pt idx="13">
                    <c:v>559.1</c:v>
                  </c:pt>
                  <c:pt idx="14">
                    <c:v>29.01</c:v>
                  </c:pt>
                  <c:pt idx="15">
                    <c:v>541.5</c:v>
                  </c:pt>
                  <c:pt idx="16">
                    <c:v>218.68</c:v>
                  </c:pt>
                  <c:pt idx="17">
                    <c:v>439.07</c:v>
                  </c:pt>
                  <c:pt idx="18">
                    <c:v>849.82</c:v>
                  </c:pt>
                  <c:pt idx="19">
                    <c:v>886.69</c:v>
                  </c:pt>
                  <c:pt idx="20">
                    <c:v>137.79</c:v>
                  </c:pt>
                  <c:pt idx="21">
                    <c:v>6.58</c:v>
                  </c:pt>
                  <c:pt idx="22">
                    <c:v>888.2</c:v>
                  </c:pt>
                  <c:pt idx="23">
                    <c:v>109.35</c:v>
                  </c:pt>
                  <c:pt idx="24">
                    <c:v>144.08</c:v>
                  </c:pt>
                  <c:pt idx="25">
                    <c:v>576.59</c:v>
                  </c:pt>
                  <c:pt idx="26">
                    <c:v>954.41</c:v>
                  </c:pt>
                  <c:pt idx="27">
                    <c:v>513.82</c:v>
                  </c:pt>
                  <c:pt idx="28">
                    <c:v>767.89</c:v>
                  </c:pt>
                  <c:pt idx="29">
                    <c:v>653.79</c:v>
                  </c:pt>
                </c:lvl>
                <c:lvl>
                  <c:pt idx="0">
                    <c:v>Cash on Delivery</c:v>
                  </c:pt>
                  <c:pt idx="1">
                    <c:v>Debit Card</c:v>
                  </c:pt>
                  <c:pt idx="2">
                    <c:v>Debit Card</c:v>
                  </c:pt>
                  <c:pt idx="3">
                    <c:v>Bank Transfer</c:v>
                  </c:pt>
                  <c:pt idx="4">
                    <c:v>Debit Card</c:v>
                  </c:pt>
                  <c:pt idx="5">
                    <c:v>Bank Transfer</c:v>
                  </c:pt>
                  <c:pt idx="6">
                    <c:v>Credit Card</c:v>
                  </c:pt>
                  <c:pt idx="7">
                    <c:v>Cash on Delivery</c:v>
                  </c:pt>
                  <c:pt idx="8">
                    <c:v>Cash on Delivery</c:v>
                  </c:pt>
                  <c:pt idx="9">
                    <c:v>Cash on Delivery</c:v>
                  </c:pt>
                  <c:pt idx="10">
                    <c:v>Cash on Delivery</c:v>
                  </c:pt>
                  <c:pt idx="11">
                    <c:v>Bank Transfer</c:v>
                  </c:pt>
                  <c:pt idx="12">
                    <c:v>Credit Card</c:v>
                  </c:pt>
                  <c:pt idx="13">
                    <c:v>Debit Card</c:v>
                  </c:pt>
                  <c:pt idx="14">
                    <c:v>Cash on Delivery</c:v>
                  </c:pt>
                  <c:pt idx="15">
                    <c:v>Bank Transfer</c:v>
                  </c:pt>
                  <c:pt idx="16">
                    <c:v>Credit Card</c:v>
                  </c:pt>
                  <c:pt idx="17">
                    <c:v>PayPal</c:v>
                  </c:pt>
                  <c:pt idx="18">
                    <c:v>Cash on Delivery</c:v>
                  </c:pt>
                  <c:pt idx="19">
                    <c:v>Debit Card</c:v>
                  </c:pt>
                  <c:pt idx="20">
                    <c:v>Credit Card</c:v>
                  </c:pt>
                  <c:pt idx="21">
                    <c:v>PayPal</c:v>
                  </c:pt>
                  <c:pt idx="22">
                    <c:v>Cash on Delivery</c:v>
                  </c:pt>
                  <c:pt idx="23">
                    <c:v>Debit Card</c:v>
                  </c:pt>
                  <c:pt idx="24">
                    <c:v>Cash on Delivery</c:v>
                  </c:pt>
                  <c:pt idx="25">
                    <c:v>Bank Transfer</c:v>
                  </c:pt>
                  <c:pt idx="26">
                    <c:v>PayPal</c:v>
                  </c:pt>
                  <c:pt idx="27">
                    <c:v>Credit Card</c:v>
                  </c:pt>
                  <c:pt idx="28">
                    <c:v>Credit Card</c:v>
                  </c:pt>
                  <c:pt idx="29">
                    <c:v>Cash on Delivery</c:v>
                  </c:pt>
                </c:lvl>
                <c:lvl>
                  <c:pt idx="0">
                    <c:v>Clothing</c:v>
                  </c:pt>
                  <c:pt idx="1">
                    <c:v>Beauty</c:v>
                  </c:pt>
                  <c:pt idx="2">
                    <c:v>Toys</c:v>
                  </c:pt>
                  <c:pt idx="3">
                    <c:v>Beauty</c:v>
                  </c:pt>
                  <c:pt idx="4">
                    <c:v>Electronics</c:v>
                  </c:pt>
                  <c:pt idx="5">
                    <c:v>Books</c:v>
                  </c:pt>
                  <c:pt idx="6">
                    <c:v>Beauty</c:v>
                  </c:pt>
                  <c:pt idx="7">
                    <c:v>Sports</c:v>
                  </c:pt>
                  <c:pt idx="8">
                    <c:v>Books</c:v>
                  </c:pt>
                  <c:pt idx="9">
                    <c:v>Toys</c:v>
                  </c:pt>
                  <c:pt idx="10">
                    <c:v>Clothing</c:v>
                  </c:pt>
                  <c:pt idx="11">
                    <c:v>Sports</c:v>
                  </c:pt>
                  <c:pt idx="12">
                    <c:v>Electronics</c:v>
                  </c:pt>
                  <c:pt idx="13">
                    <c:v>Home &amp; Kitchen</c:v>
                  </c:pt>
                  <c:pt idx="14">
                    <c:v>Toys</c:v>
                  </c:pt>
                  <c:pt idx="15">
                    <c:v>Toys</c:v>
                  </c:pt>
                  <c:pt idx="16">
                    <c:v>Beauty</c:v>
                  </c:pt>
                  <c:pt idx="17">
                    <c:v>Clothing</c:v>
                  </c:pt>
                  <c:pt idx="18">
                    <c:v>Books</c:v>
                  </c:pt>
                  <c:pt idx="19">
                    <c:v>Electronics</c:v>
                  </c:pt>
                  <c:pt idx="20">
                    <c:v>Toys</c:v>
                  </c:pt>
                  <c:pt idx="21">
                    <c:v>Electronics</c:v>
                  </c:pt>
                  <c:pt idx="22">
                    <c:v>Toys</c:v>
                  </c:pt>
                  <c:pt idx="23">
                    <c:v>Toys</c:v>
                  </c:pt>
                  <c:pt idx="24">
                    <c:v>Electronics</c:v>
                  </c:pt>
                  <c:pt idx="25">
                    <c:v>Sports</c:v>
                  </c:pt>
                  <c:pt idx="26">
                    <c:v>Electronics</c:v>
                  </c:pt>
                  <c:pt idx="27">
                    <c:v>Home &amp; Kitchen</c:v>
                  </c:pt>
                  <c:pt idx="28">
                    <c:v>Sports</c:v>
                  </c:pt>
                  <c:pt idx="29">
                    <c:v>Beauty</c:v>
                  </c:pt>
                </c:lvl>
                <c:lvl>
                  <c:pt idx="0">
                    <c:v>295</c:v>
                  </c:pt>
                  <c:pt idx="1">
                    <c:v>546</c:v>
                  </c:pt>
                  <c:pt idx="2">
                    <c:v>430</c:v>
                  </c:pt>
                  <c:pt idx="3">
                    <c:v>807</c:v>
                  </c:pt>
                  <c:pt idx="4">
                    <c:v>319</c:v>
                  </c:pt>
                  <c:pt idx="5">
                    <c:v>282</c:v>
                  </c:pt>
                  <c:pt idx="6">
                    <c:v>276</c:v>
                  </c:pt>
                  <c:pt idx="7">
                    <c:v>574</c:v>
                  </c:pt>
                  <c:pt idx="8">
                    <c:v>948</c:v>
                  </c:pt>
                  <c:pt idx="9">
                    <c:v>459</c:v>
                  </c:pt>
                  <c:pt idx="10">
                    <c:v>745</c:v>
                  </c:pt>
                  <c:pt idx="11">
                    <c:v>564</c:v>
                  </c:pt>
                  <c:pt idx="12">
                    <c:v>334</c:v>
                  </c:pt>
                  <c:pt idx="13">
                    <c:v>536</c:v>
                  </c:pt>
                  <c:pt idx="14">
                    <c:v>239</c:v>
                  </c:pt>
                  <c:pt idx="15">
                    <c:v>587</c:v>
                  </c:pt>
                  <c:pt idx="16">
                    <c:v>868</c:v>
                  </c:pt>
                  <c:pt idx="17">
                    <c:v>384</c:v>
                  </c:pt>
                  <c:pt idx="18">
                    <c:v>701</c:v>
                  </c:pt>
                  <c:pt idx="19">
                    <c:v>427</c:v>
                  </c:pt>
                  <c:pt idx="20">
                    <c:v>150</c:v>
                  </c:pt>
                  <c:pt idx="21">
                    <c:v>797</c:v>
                  </c:pt>
                  <c:pt idx="22">
                    <c:v>577</c:v>
                  </c:pt>
                  <c:pt idx="23">
                    <c:v>385</c:v>
                  </c:pt>
                  <c:pt idx="24">
                    <c:v>419</c:v>
                  </c:pt>
                  <c:pt idx="25">
                    <c:v>733</c:v>
                  </c:pt>
                  <c:pt idx="26">
                    <c:v>278</c:v>
                  </c:pt>
                  <c:pt idx="27">
                    <c:v>231</c:v>
                  </c:pt>
                  <c:pt idx="28">
                    <c:v>699</c:v>
                  </c:pt>
                  <c:pt idx="29">
                    <c:v>829</c:v>
                  </c:pt>
                </c:lvl>
                <c:lvl>
                  <c:pt idx="0">
                    <c:v>8270</c:v>
                  </c:pt>
                  <c:pt idx="1">
                    <c:v>1860</c:v>
                  </c:pt>
                  <c:pt idx="2">
                    <c:v>6390</c:v>
                  </c:pt>
                  <c:pt idx="3">
                    <c:v>6191</c:v>
                  </c:pt>
                  <c:pt idx="4">
                    <c:v>6734</c:v>
                  </c:pt>
                  <c:pt idx="5">
                    <c:v>7265</c:v>
                  </c:pt>
                  <c:pt idx="6">
                    <c:v>1466</c:v>
                  </c:pt>
                  <c:pt idx="7">
                    <c:v>5426</c:v>
                  </c:pt>
                  <c:pt idx="8">
                    <c:v>6578</c:v>
                  </c:pt>
                  <c:pt idx="9">
                    <c:v>9322</c:v>
                  </c:pt>
                  <c:pt idx="10">
                    <c:v>2685</c:v>
                  </c:pt>
                  <c:pt idx="11">
                    <c:v>1769</c:v>
                  </c:pt>
                  <c:pt idx="12">
                    <c:v>7949</c:v>
                  </c:pt>
                  <c:pt idx="13">
                    <c:v>3433</c:v>
                  </c:pt>
                  <c:pt idx="14">
                    <c:v>6311</c:v>
                  </c:pt>
                  <c:pt idx="15">
                    <c:v>6051</c:v>
                  </c:pt>
                  <c:pt idx="16">
                    <c:v>7420</c:v>
                  </c:pt>
                  <c:pt idx="17">
                    <c:v>2184</c:v>
                  </c:pt>
                  <c:pt idx="18">
                    <c:v>5555</c:v>
                  </c:pt>
                  <c:pt idx="19">
                    <c:v>4385</c:v>
                  </c:pt>
                  <c:pt idx="20">
                    <c:v>7396</c:v>
                  </c:pt>
                  <c:pt idx="21">
                    <c:v>9666</c:v>
                  </c:pt>
                  <c:pt idx="22">
                    <c:v>3558</c:v>
                  </c:pt>
                  <c:pt idx="23">
                    <c:v>8849</c:v>
                  </c:pt>
                  <c:pt idx="24">
                    <c:v>3047</c:v>
                  </c:pt>
                  <c:pt idx="25">
                    <c:v>3747</c:v>
                  </c:pt>
                  <c:pt idx="26">
                    <c:v>1189</c:v>
                  </c:pt>
                  <c:pt idx="27">
                    <c:v>3734</c:v>
                  </c:pt>
                  <c:pt idx="28">
                    <c:v>4005</c:v>
                  </c:pt>
                  <c:pt idx="29">
                    <c:v>5658</c:v>
                  </c:pt>
                </c:lvl>
                <c:lvl>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lvl>
              </c:multiLvlStrCache>
            </c:multiLvlStrRef>
          </c:cat>
          <c:val>
            <c:numRef>
              <c:f>ecommerce_sales_data!$O$2:$O$31</c:f>
              <c:numCache>
                <c:formatCode>General</c:formatCode>
                <c:ptCount val="30"/>
                <c:pt idx="0">
                  <c:v>1</c:v>
                </c:pt>
                <c:pt idx="1">
                  <c:v>1</c:v>
                </c:pt>
                <c:pt idx="2">
                  <c:v>2</c:v>
                </c:pt>
                <c:pt idx="3">
                  <c:v>2</c:v>
                </c:pt>
                <c:pt idx="4">
                  <c:v>2</c:v>
                </c:pt>
                <c:pt idx="5">
                  <c:v>3</c:v>
                </c:pt>
                <c:pt idx="6">
                  <c:v>3</c:v>
                </c:pt>
                <c:pt idx="7">
                  <c:v>1</c:v>
                </c:pt>
                <c:pt idx="8">
                  <c:v>4</c:v>
                </c:pt>
                <c:pt idx="9">
                  <c:v>3</c:v>
                </c:pt>
                <c:pt idx="10">
                  <c:v>3</c:v>
                </c:pt>
                <c:pt idx="11">
                  <c:v>1</c:v>
                </c:pt>
                <c:pt idx="12">
                  <c:v>3</c:v>
                </c:pt>
                <c:pt idx="13">
                  <c:v>1</c:v>
                </c:pt>
                <c:pt idx="14">
                  <c:v>3</c:v>
                </c:pt>
                <c:pt idx="15">
                  <c:v>2</c:v>
                </c:pt>
                <c:pt idx="16">
                  <c:v>4</c:v>
                </c:pt>
                <c:pt idx="17">
                  <c:v>2</c:v>
                </c:pt>
                <c:pt idx="18">
                  <c:v>4</c:v>
                </c:pt>
                <c:pt idx="19">
                  <c:v>1</c:v>
                </c:pt>
                <c:pt idx="20">
                  <c:v>2</c:v>
                </c:pt>
                <c:pt idx="21">
                  <c:v>4</c:v>
                </c:pt>
                <c:pt idx="22">
                  <c:v>3</c:v>
                </c:pt>
                <c:pt idx="23">
                  <c:v>4</c:v>
                </c:pt>
                <c:pt idx="24">
                  <c:v>4</c:v>
                </c:pt>
                <c:pt idx="25">
                  <c:v>4</c:v>
                </c:pt>
                <c:pt idx="26">
                  <c:v>3</c:v>
                </c:pt>
                <c:pt idx="27">
                  <c:v>3</c:v>
                </c:pt>
                <c:pt idx="28">
                  <c:v>1</c:v>
                </c:pt>
                <c:pt idx="29">
                  <c:v>4</c:v>
                </c:pt>
              </c:numCache>
            </c:numRef>
          </c:val>
          <c:extLst>
            <c:ext xmlns:c16="http://schemas.microsoft.com/office/drawing/2014/chart" uri="{C3380CC4-5D6E-409C-BE32-E72D297353CC}">
              <c16:uniqueId val="{00000079-D796-4062-942B-87358805DCD3}"/>
            </c:ext>
          </c:extLst>
        </c:ser>
        <c:ser>
          <c:idx val="2"/>
          <c:order val="2"/>
          <c:tx>
            <c:strRef>
              <c:f>ecommerce_sales_data!$P$1</c:f>
              <c:strCache>
                <c:ptCount val="1"/>
                <c:pt idx="0">
                  <c:v>encode</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7B-D796-4062-942B-87358805DCD3}"/>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7D-D796-4062-942B-87358805DCD3}"/>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7F-D796-4062-942B-87358805DCD3}"/>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81-D796-4062-942B-87358805DCD3}"/>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83-D796-4062-942B-87358805DCD3}"/>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85-D796-4062-942B-87358805DCD3}"/>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87-D796-4062-942B-87358805DCD3}"/>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89-D796-4062-942B-87358805DCD3}"/>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8B-D796-4062-942B-87358805DCD3}"/>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8D-D796-4062-942B-87358805DCD3}"/>
              </c:ext>
            </c:extLst>
          </c:dPt>
          <c:dPt>
            <c:idx val="10"/>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8F-D796-4062-942B-87358805DCD3}"/>
              </c:ext>
            </c:extLst>
          </c:dPt>
          <c:dPt>
            <c:idx val="11"/>
            <c:bubble3D val="0"/>
            <c:spPr>
              <a:solidFill>
                <a:schemeClr val="accent6">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91-D796-4062-942B-87358805DCD3}"/>
              </c:ext>
            </c:extLst>
          </c:dPt>
          <c:dPt>
            <c:idx val="12"/>
            <c:bubble3D val="0"/>
            <c:spPr>
              <a:solidFill>
                <a:schemeClr val="accent1">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93-D796-4062-942B-87358805DCD3}"/>
              </c:ext>
            </c:extLst>
          </c:dPt>
          <c:dPt>
            <c:idx val="13"/>
            <c:bubble3D val="0"/>
            <c:spPr>
              <a:solidFill>
                <a:schemeClr val="accent2">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95-D796-4062-942B-87358805DCD3}"/>
              </c:ext>
            </c:extLst>
          </c:dPt>
          <c:dPt>
            <c:idx val="14"/>
            <c:bubble3D val="0"/>
            <c:spPr>
              <a:solidFill>
                <a:schemeClr val="accent3">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97-D796-4062-942B-87358805DCD3}"/>
              </c:ext>
            </c:extLst>
          </c:dPt>
          <c:dPt>
            <c:idx val="15"/>
            <c:bubble3D val="0"/>
            <c:spPr>
              <a:solidFill>
                <a:schemeClr val="accent4">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99-D796-4062-942B-87358805DCD3}"/>
              </c:ext>
            </c:extLst>
          </c:dPt>
          <c:dPt>
            <c:idx val="16"/>
            <c:bubble3D val="0"/>
            <c:spPr>
              <a:solidFill>
                <a:schemeClr val="accent5">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9B-D796-4062-942B-87358805DCD3}"/>
              </c:ext>
            </c:extLst>
          </c:dPt>
          <c:dPt>
            <c:idx val="17"/>
            <c:bubble3D val="0"/>
            <c:spPr>
              <a:solidFill>
                <a:schemeClr val="accent6">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9D-D796-4062-942B-87358805DCD3}"/>
              </c:ext>
            </c:extLst>
          </c:dPt>
          <c:dPt>
            <c:idx val="18"/>
            <c:bubble3D val="0"/>
            <c:spPr>
              <a:solidFill>
                <a:schemeClr val="accent1">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9F-D796-4062-942B-87358805DCD3}"/>
              </c:ext>
            </c:extLst>
          </c:dPt>
          <c:dPt>
            <c:idx val="19"/>
            <c:bubble3D val="0"/>
            <c:spPr>
              <a:solidFill>
                <a:schemeClr val="accent2">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A1-D796-4062-942B-87358805DCD3}"/>
              </c:ext>
            </c:extLst>
          </c:dPt>
          <c:dPt>
            <c:idx val="20"/>
            <c:bubble3D val="0"/>
            <c:spPr>
              <a:solidFill>
                <a:schemeClr val="accent3">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A3-D796-4062-942B-87358805DCD3}"/>
              </c:ext>
            </c:extLst>
          </c:dPt>
          <c:dPt>
            <c:idx val="21"/>
            <c:bubble3D val="0"/>
            <c:spPr>
              <a:solidFill>
                <a:schemeClr val="accent4">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A5-D796-4062-942B-87358805DCD3}"/>
              </c:ext>
            </c:extLst>
          </c:dPt>
          <c:dPt>
            <c:idx val="22"/>
            <c:bubble3D val="0"/>
            <c:spPr>
              <a:solidFill>
                <a:schemeClr val="accent5">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A7-D796-4062-942B-87358805DCD3}"/>
              </c:ext>
            </c:extLst>
          </c:dPt>
          <c:dPt>
            <c:idx val="23"/>
            <c:bubble3D val="0"/>
            <c:spPr>
              <a:solidFill>
                <a:schemeClr val="accent6">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A9-D796-4062-942B-87358805DCD3}"/>
              </c:ext>
            </c:extLst>
          </c:dPt>
          <c:dPt>
            <c:idx val="24"/>
            <c:bubble3D val="0"/>
            <c:spPr>
              <a:solidFill>
                <a:schemeClr val="accent1">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AB-D796-4062-942B-87358805DCD3}"/>
              </c:ext>
            </c:extLst>
          </c:dPt>
          <c:dPt>
            <c:idx val="25"/>
            <c:bubble3D val="0"/>
            <c:spPr>
              <a:solidFill>
                <a:schemeClr val="accent2">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AD-D796-4062-942B-87358805DCD3}"/>
              </c:ext>
            </c:extLst>
          </c:dPt>
          <c:dPt>
            <c:idx val="26"/>
            <c:bubble3D val="0"/>
            <c:spPr>
              <a:solidFill>
                <a:schemeClr val="accent3">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AF-D796-4062-942B-87358805DCD3}"/>
              </c:ext>
            </c:extLst>
          </c:dPt>
          <c:dPt>
            <c:idx val="27"/>
            <c:bubble3D val="0"/>
            <c:spPr>
              <a:solidFill>
                <a:schemeClr val="accent4">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B1-D796-4062-942B-87358805DCD3}"/>
              </c:ext>
            </c:extLst>
          </c:dPt>
          <c:dPt>
            <c:idx val="28"/>
            <c:bubble3D val="0"/>
            <c:spPr>
              <a:solidFill>
                <a:schemeClr val="accent5">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B3-D796-4062-942B-87358805DCD3}"/>
              </c:ext>
            </c:extLst>
          </c:dPt>
          <c:dPt>
            <c:idx val="29"/>
            <c:bubble3D val="0"/>
            <c:spPr>
              <a:solidFill>
                <a:schemeClr val="accent6">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B5-D796-4062-942B-87358805DCD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multiLvlStrRef>
              <c:f>ecommerce_sales_data!$A$2:$M$31</c:f>
              <c:multiLvlStrCache>
                <c:ptCount val="30"/>
                <c:lvl>
                  <c:pt idx="0">
                    <c:v>Medium</c:v>
                  </c:pt>
                  <c:pt idx="1">
                    <c:v>High</c:v>
                  </c:pt>
                  <c:pt idx="2">
                    <c:v>High</c:v>
                  </c:pt>
                  <c:pt idx="3">
                    <c:v>Low</c:v>
                  </c:pt>
                  <c:pt idx="4">
                    <c:v>High</c:v>
                  </c:pt>
                  <c:pt idx="5">
                    <c:v>High</c:v>
                  </c:pt>
                  <c:pt idx="6">
                    <c:v>Low</c:v>
                  </c:pt>
                  <c:pt idx="7">
                    <c:v>High</c:v>
                  </c:pt>
                  <c:pt idx="8">
                    <c:v>Low</c:v>
                  </c:pt>
                  <c:pt idx="9">
                    <c:v>Low</c:v>
                  </c:pt>
                  <c:pt idx="10">
                    <c:v>Low</c:v>
                  </c:pt>
                  <c:pt idx="11">
                    <c:v>High</c:v>
                  </c:pt>
                  <c:pt idx="12">
                    <c:v>Low</c:v>
                  </c:pt>
                  <c:pt idx="13">
                    <c:v>Low</c:v>
                  </c:pt>
                  <c:pt idx="14">
                    <c:v>High</c:v>
                  </c:pt>
                  <c:pt idx="15">
                    <c:v>Low</c:v>
                  </c:pt>
                  <c:pt idx="16">
                    <c:v>Medium</c:v>
                  </c:pt>
                  <c:pt idx="17">
                    <c:v>Medium</c:v>
                  </c:pt>
                  <c:pt idx="18">
                    <c:v>Low</c:v>
                  </c:pt>
                  <c:pt idx="19">
                    <c:v>Low</c:v>
                  </c:pt>
                  <c:pt idx="20">
                    <c:v>Medium</c:v>
                  </c:pt>
                  <c:pt idx="21">
                    <c:v>Medium</c:v>
                  </c:pt>
                  <c:pt idx="22">
                    <c:v>Medium</c:v>
                  </c:pt>
                  <c:pt idx="23">
                    <c:v>High</c:v>
                  </c:pt>
                  <c:pt idx="24">
                    <c:v>High</c:v>
                  </c:pt>
                  <c:pt idx="25">
                    <c:v>Low</c:v>
                  </c:pt>
                  <c:pt idx="26">
                    <c:v>Low</c:v>
                  </c:pt>
                  <c:pt idx="27">
                    <c:v>Low</c:v>
                  </c:pt>
                  <c:pt idx="28">
                    <c:v>High</c:v>
                  </c:pt>
                  <c:pt idx="29">
                    <c:v>Low</c:v>
                  </c:pt>
                </c:lvl>
                <c:lvl>
                  <c:pt idx="0">
                    <c:v>Female</c:v>
                  </c:pt>
                  <c:pt idx="1">
                    <c:v>Other</c:v>
                  </c:pt>
                  <c:pt idx="2">
                    <c:v>Female</c:v>
                  </c:pt>
                  <c:pt idx="3">
                    <c:v>Female</c:v>
                  </c:pt>
                  <c:pt idx="4">
                    <c:v>Other</c:v>
                  </c:pt>
                  <c:pt idx="5">
                    <c:v>Male</c:v>
                  </c:pt>
                  <c:pt idx="6">
                    <c:v>Male</c:v>
                  </c:pt>
                  <c:pt idx="7">
                    <c:v>Female</c:v>
                  </c:pt>
                  <c:pt idx="8">
                    <c:v>Male</c:v>
                  </c:pt>
                  <c:pt idx="9">
                    <c:v>Female</c:v>
                  </c:pt>
                  <c:pt idx="10">
                    <c:v>Other</c:v>
                  </c:pt>
                  <c:pt idx="11">
                    <c:v>Other</c:v>
                  </c:pt>
                  <c:pt idx="12">
                    <c:v>Other</c:v>
                  </c:pt>
                  <c:pt idx="13">
                    <c:v>Male</c:v>
                  </c:pt>
                  <c:pt idx="14">
                    <c:v>Other</c:v>
                  </c:pt>
                  <c:pt idx="15">
                    <c:v>Other</c:v>
                  </c:pt>
                  <c:pt idx="16">
                    <c:v>Other</c:v>
                  </c:pt>
                  <c:pt idx="17">
                    <c:v>Other</c:v>
                  </c:pt>
                  <c:pt idx="18">
                    <c:v>Female</c:v>
                  </c:pt>
                  <c:pt idx="19">
                    <c:v>Other</c:v>
                  </c:pt>
                  <c:pt idx="20">
                    <c:v>Male</c:v>
                  </c:pt>
                  <c:pt idx="21">
                    <c:v>Female</c:v>
                  </c:pt>
                  <c:pt idx="22">
                    <c:v>Other</c:v>
                  </c:pt>
                  <c:pt idx="23">
                    <c:v>Female</c:v>
                  </c:pt>
                  <c:pt idx="24">
                    <c:v>Male</c:v>
                  </c:pt>
                  <c:pt idx="25">
                    <c:v>Male</c:v>
                  </c:pt>
                  <c:pt idx="26">
                    <c:v>Male</c:v>
                  </c:pt>
                  <c:pt idx="27">
                    <c:v>Male</c:v>
                  </c:pt>
                  <c:pt idx="28">
                    <c:v>Other</c:v>
                  </c:pt>
                  <c:pt idx="29">
                    <c:v>Female</c:v>
                  </c:pt>
                </c:lvl>
                <c:lvl>
                  <c:pt idx="0">
                    <c:v>46</c:v>
                  </c:pt>
                  <c:pt idx="1">
                    <c:v>59</c:v>
                  </c:pt>
                  <c:pt idx="2">
                    <c:v>61</c:v>
                  </c:pt>
                  <c:pt idx="3">
                    <c:v>69</c:v>
                  </c:pt>
                  <c:pt idx="4">
                    <c:v>29</c:v>
                  </c:pt>
                  <c:pt idx="5">
                    <c:v>60</c:v>
                  </c:pt>
                  <c:pt idx="6">
                    <c:v>69</c:v>
                  </c:pt>
                  <c:pt idx="7">
                    <c:v>45</c:v>
                  </c:pt>
                  <c:pt idx="8">
                    <c:v>37</c:v>
                  </c:pt>
                  <c:pt idx="9">
                    <c:v>67</c:v>
                  </c:pt>
                  <c:pt idx="10">
                    <c:v>36</c:v>
                  </c:pt>
                  <c:pt idx="11">
                    <c:v>61</c:v>
                  </c:pt>
                  <c:pt idx="12">
                    <c:v>65</c:v>
                  </c:pt>
                  <c:pt idx="13">
                    <c:v>35</c:v>
                  </c:pt>
                  <c:pt idx="14">
                    <c:v>20</c:v>
                  </c:pt>
                  <c:pt idx="15">
                    <c:v>46</c:v>
                  </c:pt>
                  <c:pt idx="16">
                    <c:v>21</c:v>
                  </c:pt>
                  <c:pt idx="17">
                    <c:v>23</c:v>
                  </c:pt>
                  <c:pt idx="18">
                    <c:v>52</c:v>
                  </c:pt>
                  <c:pt idx="19">
                    <c:v>46</c:v>
                  </c:pt>
                  <c:pt idx="20">
                    <c:v>60</c:v>
                  </c:pt>
                  <c:pt idx="21">
                    <c:v>54</c:v>
                  </c:pt>
                  <c:pt idx="22">
                    <c:v>29</c:v>
                  </c:pt>
                  <c:pt idx="23">
                    <c:v>45</c:v>
                  </c:pt>
                  <c:pt idx="24">
                    <c:v>38</c:v>
                  </c:pt>
                  <c:pt idx="25">
                    <c:v>52</c:v>
                  </c:pt>
                  <c:pt idx="26">
                    <c:v>66</c:v>
                  </c:pt>
                  <c:pt idx="27">
                    <c:v>34</c:v>
                  </c:pt>
                  <c:pt idx="28">
                    <c:v>52</c:v>
                  </c:pt>
                  <c:pt idx="29">
                    <c:v>68</c:v>
                  </c:pt>
                </c:lvl>
                <c:lvl>
                  <c:pt idx="0">
                    <c:v>New Juan</c:v>
                  </c:pt>
                  <c:pt idx="1">
                    <c:v>South Julie</c:v>
                  </c:pt>
                  <c:pt idx="2">
                    <c:v>West Carrieview</c:v>
                  </c:pt>
                  <c:pt idx="3">
                    <c:v>Christianberg</c:v>
                  </c:pt>
                  <c:pt idx="4">
                    <c:v>South Williamhaven</c:v>
                  </c:pt>
                  <c:pt idx="5">
                    <c:v>Stephenfort</c:v>
                  </c:pt>
                  <c:pt idx="6">
                    <c:v>North Terristad</c:v>
                  </c:pt>
                  <c:pt idx="7">
                    <c:v>Pachecotown</c:v>
                  </c:pt>
                  <c:pt idx="8">
                    <c:v>Port Philipberg</c:v>
                  </c:pt>
                  <c:pt idx="9">
                    <c:v>Jenniferfurt</c:v>
                  </c:pt>
                  <c:pt idx="10">
                    <c:v>Lake Carolyn</c:v>
                  </c:pt>
                  <c:pt idx="11">
                    <c:v>Amandaborough</c:v>
                  </c:pt>
                  <c:pt idx="12">
                    <c:v>South Maria</c:v>
                  </c:pt>
                  <c:pt idx="13">
                    <c:v>West Marissa</c:v>
                  </c:pt>
                  <c:pt idx="14">
                    <c:v>Austinburgh</c:v>
                  </c:pt>
                  <c:pt idx="15">
                    <c:v>Lake Jesse</c:v>
                  </c:pt>
                  <c:pt idx="16">
                    <c:v>Marioburgh</c:v>
                  </c:pt>
                  <c:pt idx="17">
                    <c:v>Ryanhaven</c:v>
                  </c:pt>
                  <c:pt idx="18">
                    <c:v>Dickersonmouth</c:v>
                  </c:pt>
                  <c:pt idx="19">
                    <c:v>Annaborough</c:v>
                  </c:pt>
                  <c:pt idx="20">
                    <c:v>Ramirezburgh</c:v>
                  </c:pt>
                  <c:pt idx="21">
                    <c:v>Sextonberg</c:v>
                  </c:pt>
                  <c:pt idx="22">
                    <c:v>Beasleyshire</c:v>
                  </c:pt>
                  <c:pt idx="23">
                    <c:v>Lake Brittneyland</c:v>
                  </c:pt>
                  <c:pt idx="24">
                    <c:v>South John</c:v>
                  </c:pt>
                  <c:pt idx="25">
                    <c:v>New Devin</c:v>
                  </c:pt>
                  <c:pt idx="26">
                    <c:v>Lake Denise</c:v>
                  </c:pt>
                  <c:pt idx="27">
                    <c:v>South Susan</c:v>
                  </c:pt>
                  <c:pt idx="28">
                    <c:v>Johnsonchester</c:v>
                  </c:pt>
                  <c:pt idx="29">
                    <c:v>Martinberg</c:v>
                  </c:pt>
                </c:lvl>
                <c:lvl>
                  <c:pt idx="0">
                    <c:v>22-12-2023 10:35</c:v>
                  </c:pt>
                  <c:pt idx="1">
                    <c:v>05-05-2024 10:40</c:v>
                  </c:pt>
                  <c:pt idx="2">
                    <c:v>04-12-2023 05:22</c:v>
                  </c:pt>
                  <c:pt idx="3">
                    <c:v>02-01-2024 11:11</c:v>
                  </c:pt>
                  <c:pt idx="4">
                    <c:v>18-06-2024 01:01</c:v>
                  </c:pt>
                  <c:pt idx="5">
                    <c:v>06-03-2024 06:15</c:v>
                  </c:pt>
                  <c:pt idx="6">
                    <c:v>15-10-2023 13:30</c:v>
                  </c:pt>
                  <c:pt idx="7">
                    <c:v>16-05-2024 01:46</c:v>
                  </c:pt>
                  <c:pt idx="8">
                    <c:v>04-08-2024 17:13</c:v>
                  </c:pt>
                  <c:pt idx="9">
                    <c:v>18-12-2023 18:38</c:v>
                  </c:pt>
                  <c:pt idx="10">
                    <c:v>26-05-2024 02:56</c:v>
                  </c:pt>
                  <c:pt idx="11">
                    <c:v>26-09-2023 05:18</c:v>
                  </c:pt>
                  <c:pt idx="12">
                    <c:v>13-12-2023 23:53</c:v>
                  </c:pt>
                  <c:pt idx="13">
                    <c:v>02-12-2023 07:44</c:v>
                  </c:pt>
                  <c:pt idx="14">
                    <c:v>01-03-2024 17:49</c:v>
                  </c:pt>
                  <c:pt idx="15">
                    <c:v>12-08-2024 12:13</c:v>
                  </c:pt>
                  <c:pt idx="16">
                    <c:v>24-07-2024 08:49</c:v>
                  </c:pt>
                  <c:pt idx="17">
                    <c:v>14-06-2024 18:03</c:v>
                  </c:pt>
                  <c:pt idx="18">
                    <c:v>02-03-2024 05:18</c:v>
                  </c:pt>
                  <c:pt idx="19">
                    <c:v>19-05-2024 13:22</c:v>
                  </c:pt>
                  <c:pt idx="20">
                    <c:v>13-05-2024 10:04</c:v>
                  </c:pt>
                  <c:pt idx="21">
                    <c:v>05-04-2024 20:50</c:v>
                  </c:pt>
                  <c:pt idx="22">
                    <c:v>17-11-2023 05:30</c:v>
                  </c:pt>
                  <c:pt idx="23">
                    <c:v>05-08-2024 14:07</c:v>
                  </c:pt>
                  <c:pt idx="24">
                    <c:v>24-02-2024 01:14</c:v>
                  </c:pt>
                  <c:pt idx="25">
                    <c:v>04-03-2024 09:18</c:v>
                  </c:pt>
                  <c:pt idx="26">
                    <c:v>26-10-2023 07:12</c:v>
                  </c:pt>
                  <c:pt idx="27">
                    <c:v>04-08-2024 12:39</c:v>
                  </c:pt>
                  <c:pt idx="28">
                    <c:v>06-05-2024 01:39</c:v>
                  </c:pt>
                  <c:pt idx="29">
                    <c:v>23-10-2023 11:34</c:v>
                  </c:pt>
                </c:lvl>
                <c:lvl>
                  <c:pt idx="0">
                    <c:v>0.13</c:v>
                  </c:pt>
                  <c:pt idx="1">
                    <c:v>0.06</c:v>
                  </c:pt>
                  <c:pt idx="2">
                    <c:v>0.24</c:v>
                  </c:pt>
                  <c:pt idx="3">
                    <c:v>0.01</c:v>
                  </c:pt>
                  <c:pt idx="4">
                    <c:v>0.14</c:v>
                  </c:pt>
                  <c:pt idx="5">
                    <c:v>0.18</c:v>
                  </c:pt>
                  <c:pt idx="6">
                    <c:v>0.09</c:v>
                  </c:pt>
                  <c:pt idx="7">
                    <c:v>0.29</c:v>
                  </c:pt>
                  <c:pt idx="8">
                    <c:v>0.12</c:v>
                  </c:pt>
                  <c:pt idx="9">
                    <c:v>0.23</c:v>
                  </c:pt>
                  <c:pt idx="10">
                    <c:v>0.06</c:v>
                  </c:pt>
                  <c:pt idx="11">
                    <c:v>0.05</c:v>
                  </c:pt>
                  <c:pt idx="12">
                    <c:v>0.25</c:v>
                  </c:pt>
                  <c:pt idx="13">
                    <c:v>0.15</c:v>
                  </c:pt>
                  <c:pt idx="14">
                    <c:v>0.26</c:v>
                  </c:pt>
                  <c:pt idx="15">
                    <c:v>0.22</c:v>
                  </c:pt>
                  <c:pt idx="16">
                    <c:v>0.19</c:v>
                  </c:pt>
                  <c:pt idx="17">
                    <c:v>0.26</c:v>
                  </c:pt>
                  <c:pt idx="18">
                    <c:v>0.12</c:v>
                  </c:pt>
                  <c:pt idx="19">
                    <c:v>0.28</c:v>
                  </c:pt>
                  <c:pt idx="20">
                    <c:v>0.04</c:v>
                  </c:pt>
                  <c:pt idx="21">
                    <c:v>0.04</c:v>
                  </c:pt>
                  <c:pt idx="22">
                    <c:v>0.04</c:v>
                  </c:pt>
                  <c:pt idx="23">
                    <c:v>0.15</c:v>
                  </c:pt>
                  <c:pt idx="24">
                    <c:v>0.28</c:v>
                  </c:pt>
                  <c:pt idx="25">
                    <c:v>0.2</c:v>
                  </c:pt>
                  <c:pt idx="26">
                    <c:v>0.11</c:v>
                  </c:pt>
                  <c:pt idx="27">
                    <c:v>0.05</c:v>
                  </c:pt>
                  <c:pt idx="28">
                    <c:v>0.11</c:v>
                  </c:pt>
                  <c:pt idx="29">
                    <c:v>0.01</c:v>
                  </c:pt>
                </c:lvl>
                <c:lvl>
                  <c:pt idx="0">
                    <c:v>801.66</c:v>
                  </c:pt>
                  <c:pt idx="1">
                    <c:v>225.03</c:v>
                  </c:pt>
                  <c:pt idx="2">
                    <c:v>544.99</c:v>
                  </c:pt>
                  <c:pt idx="3">
                    <c:v>157.02</c:v>
                  </c:pt>
                  <c:pt idx="4">
                    <c:v>155.51</c:v>
                  </c:pt>
                  <c:pt idx="5">
                    <c:v>225.65</c:v>
                  </c:pt>
                  <c:pt idx="6">
                    <c:v>631.96</c:v>
                  </c:pt>
                  <c:pt idx="7">
                    <c:v>522.87</c:v>
                  </c:pt>
                  <c:pt idx="8">
                    <c:v>202.66</c:v>
                  </c:pt>
                  <c:pt idx="9">
                    <c:v>401.52</c:v>
                  </c:pt>
                  <c:pt idx="10">
                    <c:v>346.31</c:v>
                  </c:pt>
                  <c:pt idx="11">
                    <c:v>434.15</c:v>
                  </c:pt>
                  <c:pt idx="12">
                    <c:v>189.87</c:v>
                  </c:pt>
                  <c:pt idx="13">
                    <c:v>559.1</c:v>
                  </c:pt>
                  <c:pt idx="14">
                    <c:v>29.01</c:v>
                  </c:pt>
                  <c:pt idx="15">
                    <c:v>541.5</c:v>
                  </c:pt>
                  <c:pt idx="16">
                    <c:v>218.68</c:v>
                  </c:pt>
                  <c:pt idx="17">
                    <c:v>439.07</c:v>
                  </c:pt>
                  <c:pt idx="18">
                    <c:v>849.82</c:v>
                  </c:pt>
                  <c:pt idx="19">
                    <c:v>886.69</c:v>
                  </c:pt>
                  <c:pt idx="20">
                    <c:v>137.79</c:v>
                  </c:pt>
                  <c:pt idx="21">
                    <c:v>6.58</c:v>
                  </c:pt>
                  <c:pt idx="22">
                    <c:v>888.2</c:v>
                  </c:pt>
                  <c:pt idx="23">
                    <c:v>109.35</c:v>
                  </c:pt>
                  <c:pt idx="24">
                    <c:v>144.08</c:v>
                  </c:pt>
                  <c:pt idx="25">
                    <c:v>576.59</c:v>
                  </c:pt>
                  <c:pt idx="26">
                    <c:v>954.41</c:v>
                  </c:pt>
                  <c:pt idx="27">
                    <c:v>513.82</c:v>
                  </c:pt>
                  <c:pt idx="28">
                    <c:v>767.89</c:v>
                  </c:pt>
                  <c:pt idx="29">
                    <c:v>653.79</c:v>
                  </c:pt>
                </c:lvl>
                <c:lvl>
                  <c:pt idx="0">
                    <c:v>Cash on Delivery</c:v>
                  </c:pt>
                  <c:pt idx="1">
                    <c:v>Debit Card</c:v>
                  </c:pt>
                  <c:pt idx="2">
                    <c:v>Debit Card</c:v>
                  </c:pt>
                  <c:pt idx="3">
                    <c:v>Bank Transfer</c:v>
                  </c:pt>
                  <c:pt idx="4">
                    <c:v>Debit Card</c:v>
                  </c:pt>
                  <c:pt idx="5">
                    <c:v>Bank Transfer</c:v>
                  </c:pt>
                  <c:pt idx="6">
                    <c:v>Credit Card</c:v>
                  </c:pt>
                  <c:pt idx="7">
                    <c:v>Cash on Delivery</c:v>
                  </c:pt>
                  <c:pt idx="8">
                    <c:v>Cash on Delivery</c:v>
                  </c:pt>
                  <c:pt idx="9">
                    <c:v>Cash on Delivery</c:v>
                  </c:pt>
                  <c:pt idx="10">
                    <c:v>Cash on Delivery</c:v>
                  </c:pt>
                  <c:pt idx="11">
                    <c:v>Bank Transfer</c:v>
                  </c:pt>
                  <c:pt idx="12">
                    <c:v>Credit Card</c:v>
                  </c:pt>
                  <c:pt idx="13">
                    <c:v>Debit Card</c:v>
                  </c:pt>
                  <c:pt idx="14">
                    <c:v>Cash on Delivery</c:v>
                  </c:pt>
                  <c:pt idx="15">
                    <c:v>Bank Transfer</c:v>
                  </c:pt>
                  <c:pt idx="16">
                    <c:v>Credit Card</c:v>
                  </c:pt>
                  <c:pt idx="17">
                    <c:v>PayPal</c:v>
                  </c:pt>
                  <c:pt idx="18">
                    <c:v>Cash on Delivery</c:v>
                  </c:pt>
                  <c:pt idx="19">
                    <c:v>Debit Card</c:v>
                  </c:pt>
                  <c:pt idx="20">
                    <c:v>Credit Card</c:v>
                  </c:pt>
                  <c:pt idx="21">
                    <c:v>PayPal</c:v>
                  </c:pt>
                  <c:pt idx="22">
                    <c:v>Cash on Delivery</c:v>
                  </c:pt>
                  <c:pt idx="23">
                    <c:v>Debit Card</c:v>
                  </c:pt>
                  <c:pt idx="24">
                    <c:v>Cash on Delivery</c:v>
                  </c:pt>
                  <c:pt idx="25">
                    <c:v>Bank Transfer</c:v>
                  </c:pt>
                  <c:pt idx="26">
                    <c:v>PayPal</c:v>
                  </c:pt>
                  <c:pt idx="27">
                    <c:v>Credit Card</c:v>
                  </c:pt>
                  <c:pt idx="28">
                    <c:v>Credit Card</c:v>
                  </c:pt>
                  <c:pt idx="29">
                    <c:v>Cash on Delivery</c:v>
                  </c:pt>
                </c:lvl>
                <c:lvl>
                  <c:pt idx="0">
                    <c:v>Clothing</c:v>
                  </c:pt>
                  <c:pt idx="1">
                    <c:v>Beauty</c:v>
                  </c:pt>
                  <c:pt idx="2">
                    <c:v>Toys</c:v>
                  </c:pt>
                  <c:pt idx="3">
                    <c:v>Beauty</c:v>
                  </c:pt>
                  <c:pt idx="4">
                    <c:v>Electronics</c:v>
                  </c:pt>
                  <c:pt idx="5">
                    <c:v>Books</c:v>
                  </c:pt>
                  <c:pt idx="6">
                    <c:v>Beauty</c:v>
                  </c:pt>
                  <c:pt idx="7">
                    <c:v>Sports</c:v>
                  </c:pt>
                  <c:pt idx="8">
                    <c:v>Books</c:v>
                  </c:pt>
                  <c:pt idx="9">
                    <c:v>Toys</c:v>
                  </c:pt>
                  <c:pt idx="10">
                    <c:v>Clothing</c:v>
                  </c:pt>
                  <c:pt idx="11">
                    <c:v>Sports</c:v>
                  </c:pt>
                  <c:pt idx="12">
                    <c:v>Electronics</c:v>
                  </c:pt>
                  <c:pt idx="13">
                    <c:v>Home &amp; Kitchen</c:v>
                  </c:pt>
                  <c:pt idx="14">
                    <c:v>Toys</c:v>
                  </c:pt>
                  <c:pt idx="15">
                    <c:v>Toys</c:v>
                  </c:pt>
                  <c:pt idx="16">
                    <c:v>Beauty</c:v>
                  </c:pt>
                  <c:pt idx="17">
                    <c:v>Clothing</c:v>
                  </c:pt>
                  <c:pt idx="18">
                    <c:v>Books</c:v>
                  </c:pt>
                  <c:pt idx="19">
                    <c:v>Electronics</c:v>
                  </c:pt>
                  <c:pt idx="20">
                    <c:v>Toys</c:v>
                  </c:pt>
                  <c:pt idx="21">
                    <c:v>Electronics</c:v>
                  </c:pt>
                  <c:pt idx="22">
                    <c:v>Toys</c:v>
                  </c:pt>
                  <c:pt idx="23">
                    <c:v>Toys</c:v>
                  </c:pt>
                  <c:pt idx="24">
                    <c:v>Electronics</c:v>
                  </c:pt>
                  <c:pt idx="25">
                    <c:v>Sports</c:v>
                  </c:pt>
                  <c:pt idx="26">
                    <c:v>Electronics</c:v>
                  </c:pt>
                  <c:pt idx="27">
                    <c:v>Home &amp; Kitchen</c:v>
                  </c:pt>
                  <c:pt idx="28">
                    <c:v>Sports</c:v>
                  </c:pt>
                  <c:pt idx="29">
                    <c:v>Beauty</c:v>
                  </c:pt>
                </c:lvl>
                <c:lvl>
                  <c:pt idx="0">
                    <c:v>295</c:v>
                  </c:pt>
                  <c:pt idx="1">
                    <c:v>546</c:v>
                  </c:pt>
                  <c:pt idx="2">
                    <c:v>430</c:v>
                  </c:pt>
                  <c:pt idx="3">
                    <c:v>807</c:v>
                  </c:pt>
                  <c:pt idx="4">
                    <c:v>319</c:v>
                  </c:pt>
                  <c:pt idx="5">
                    <c:v>282</c:v>
                  </c:pt>
                  <c:pt idx="6">
                    <c:v>276</c:v>
                  </c:pt>
                  <c:pt idx="7">
                    <c:v>574</c:v>
                  </c:pt>
                  <c:pt idx="8">
                    <c:v>948</c:v>
                  </c:pt>
                  <c:pt idx="9">
                    <c:v>459</c:v>
                  </c:pt>
                  <c:pt idx="10">
                    <c:v>745</c:v>
                  </c:pt>
                  <c:pt idx="11">
                    <c:v>564</c:v>
                  </c:pt>
                  <c:pt idx="12">
                    <c:v>334</c:v>
                  </c:pt>
                  <c:pt idx="13">
                    <c:v>536</c:v>
                  </c:pt>
                  <c:pt idx="14">
                    <c:v>239</c:v>
                  </c:pt>
                  <c:pt idx="15">
                    <c:v>587</c:v>
                  </c:pt>
                  <c:pt idx="16">
                    <c:v>868</c:v>
                  </c:pt>
                  <c:pt idx="17">
                    <c:v>384</c:v>
                  </c:pt>
                  <c:pt idx="18">
                    <c:v>701</c:v>
                  </c:pt>
                  <c:pt idx="19">
                    <c:v>427</c:v>
                  </c:pt>
                  <c:pt idx="20">
                    <c:v>150</c:v>
                  </c:pt>
                  <c:pt idx="21">
                    <c:v>797</c:v>
                  </c:pt>
                  <c:pt idx="22">
                    <c:v>577</c:v>
                  </c:pt>
                  <c:pt idx="23">
                    <c:v>385</c:v>
                  </c:pt>
                  <c:pt idx="24">
                    <c:v>419</c:v>
                  </c:pt>
                  <c:pt idx="25">
                    <c:v>733</c:v>
                  </c:pt>
                  <c:pt idx="26">
                    <c:v>278</c:v>
                  </c:pt>
                  <c:pt idx="27">
                    <c:v>231</c:v>
                  </c:pt>
                  <c:pt idx="28">
                    <c:v>699</c:v>
                  </c:pt>
                  <c:pt idx="29">
                    <c:v>829</c:v>
                  </c:pt>
                </c:lvl>
                <c:lvl>
                  <c:pt idx="0">
                    <c:v>8270</c:v>
                  </c:pt>
                  <c:pt idx="1">
                    <c:v>1860</c:v>
                  </c:pt>
                  <c:pt idx="2">
                    <c:v>6390</c:v>
                  </c:pt>
                  <c:pt idx="3">
                    <c:v>6191</c:v>
                  </c:pt>
                  <c:pt idx="4">
                    <c:v>6734</c:v>
                  </c:pt>
                  <c:pt idx="5">
                    <c:v>7265</c:v>
                  </c:pt>
                  <c:pt idx="6">
                    <c:v>1466</c:v>
                  </c:pt>
                  <c:pt idx="7">
                    <c:v>5426</c:v>
                  </c:pt>
                  <c:pt idx="8">
                    <c:v>6578</c:v>
                  </c:pt>
                  <c:pt idx="9">
                    <c:v>9322</c:v>
                  </c:pt>
                  <c:pt idx="10">
                    <c:v>2685</c:v>
                  </c:pt>
                  <c:pt idx="11">
                    <c:v>1769</c:v>
                  </c:pt>
                  <c:pt idx="12">
                    <c:v>7949</c:v>
                  </c:pt>
                  <c:pt idx="13">
                    <c:v>3433</c:v>
                  </c:pt>
                  <c:pt idx="14">
                    <c:v>6311</c:v>
                  </c:pt>
                  <c:pt idx="15">
                    <c:v>6051</c:v>
                  </c:pt>
                  <c:pt idx="16">
                    <c:v>7420</c:v>
                  </c:pt>
                  <c:pt idx="17">
                    <c:v>2184</c:v>
                  </c:pt>
                  <c:pt idx="18">
                    <c:v>5555</c:v>
                  </c:pt>
                  <c:pt idx="19">
                    <c:v>4385</c:v>
                  </c:pt>
                  <c:pt idx="20">
                    <c:v>7396</c:v>
                  </c:pt>
                  <c:pt idx="21">
                    <c:v>9666</c:v>
                  </c:pt>
                  <c:pt idx="22">
                    <c:v>3558</c:v>
                  </c:pt>
                  <c:pt idx="23">
                    <c:v>8849</c:v>
                  </c:pt>
                  <c:pt idx="24">
                    <c:v>3047</c:v>
                  </c:pt>
                  <c:pt idx="25">
                    <c:v>3747</c:v>
                  </c:pt>
                  <c:pt idx="26">
                    <c:v>1189</c:v>
                  </c:pt>
                  <c:pt idx="27">
                    <c:v>3734</c:v>
                  </c:pt>
                  <c:pt idx="28">
                    <c:v>4005</c:v>
                  </c:pt>
                  <c:pt idx="29">
                    <c:v>5658</c:v>
                  </c:pt>
                </c:lvl>
                <c:lvl>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lvl>
              </c:multiLvlStrCache>
            </c:multiLvlStrRef>
          </c:cat>
          <c:val>
            <c:numRef>
              <c:f>ecommerce_sales_data!$P$2:$P$31</c:f>
              <c:numCache>
                <c:formatCode>General</c:formatCode>
                <c:ptCount val="30"/>
                <c:pt idx="0">
                  <c:v>1</c:v>
                </c:pt>
                <c:pt idx="1">
                  <c:v>2</c:v>
                </c:pt>
                <c:pt idx="2">
                  <c:v>3</c:v>
                </c:pt>
                <c:pt idx="3">
                  <c:v>2</c:v>
                </c:pt>
                <c:pt idx="4">
                  <c:v>4</c:v>
                </c:pt>
                <c:pt idx="5">
                  <c:v>6</c:v>
                </c:pt>
                <c:pt idx="6">
                  <c:v>2</c:v>
                </c:pt>
                <c:pt idx="7">
                  <c:v>5</c:v>
                </c:pt>
                <c:pt idx="8">
                  <c:v>6</c:v>
                </c:pt>
                <c:pt idx="9">
                  <c:v>3</c:v>
                </c:pt>
                <c:pt idx="10">
                  <c:v>1</c:v>
                </c:pt>
                <c:pt idx="11">
                  <c:v>5</c:v>
                </c:pt>
                <c:pt idx="12">
                  <c:v>4</c:v>
                </c:pt>
                <c:pt idx="13">
                  <c:v>0</c:v>
                </c:pt>
                <c:pt idx="14">
                  <c:v>3</c:v>
                </c:pt>
                <c:pt idx="15">
                  <c:v>3</c:v>
                </c:pt>
                <c:pt idx="16">
                  <c:v>2</c:v>
                </c:pt>
                <c:pt idx="17">
                  <c:v>1</c:v>
                </c:pt>
                <c:pt idx="18">
                  <c:v>6</c:v>
                </c:pt>
                <c:pt idx="19">
                  <c:v>4</c:v>
                </c:pt>
                <c:pt idx="20">
                  <c:v>3</c:v>
                </c:pt>
                <c:pt idx="21">
                  <c:v>4</c:v>
                </c:pt>
                <c:pt idx="22">
                  <c:v>3</c:v>
                </c:pt>
                <c:pt idx="23">
                  <c:v>3</c:v>
                </c:pt>
                <c:pt idx="24">
                  <c:v>4</c:v>
                </c:pt>
                <c:pt idx="25">
                  <c:v>5</c:v>
                </c:pt>
                <c:pt idx="26">
                  <c:v>4</c:v>
                </c:pt>
                <c:pt idx="27">
                  <c:v>0</c:v>
                </c:pt>
                <c:pt idx="28">
                  <c:v>5</c:v>
                </c:pt>
                <c:pt idx="29">
                  <c:v>2</c:v>
                </c:pt>
              </c:numCache>
            </c:numRef>
          </c:val>
          <c:extLst>
            <c:ext xmlns:c16="http://schemas.microsoft.com/office/drawing/2014/chart" uri="{C3380CC4-5D6E-409C-BE32-E72D297353CC}">
              <c16:uniqueId val="{000000B6-D796-4062-942B-87358805DCD3}"/>
            </c:ext>
          </c:extLst>
        </c:ser>
        <c:dLbls>
          <c:dLblPos val="bestFit"/>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data id="1">
      <cx:strDim type="cat">
        <cx:f>_xlchart.v1.0</cx:f>
      </cx:strDim>
      <cx:numDim type="val">
        <cx:f>_xlchart.v1.4</cx:f>
      </cx:numDim>
    </cx:data>
    <cx:data id="2">
      <cx:strDim type="cat">
        <cx:f>_xlchart.v1.0</cx:f>
      </cx:strDim>
      <cx:numDim type="val">
        <cx:f>_xlchart.v1.6</cx:f>
      </cx:numDim>
    </cx:data>
  </cx:chartData>
  <cx:chart>
    <cx:title pos="t" align="ctr" overlay="0"/>
    <cx:plotArea>
      <cx:plotAreaRegion>
        <cx:series layoutId="boxWhisker" uniqueId="{00000000-6376-4073-B385-53C6949DADB3}">
          <cx:tx>
            <cx:txData>
              <cx:f>_xlchart.v1.1</cx:f>
              <cx:v>CustomerLoyaltyScore</cx:v>
            </cx:txData>
          </cx:tx>
          <cx:dataId val="0"/>
          <cx:layoutPr>
            <cx:visibility meanLine="0" meanMarker="1" nonoutliers="0" outliers="1"/>
            <cx:statistics quartileMethod="exclusive"/>
          </cx:layoutPr>
        </cx:series>
        <cx:series layoutId="boxWhisker" uniqueId="{00000001-6376-4073-B385-53C6949DADB3}">
          <cx:tx>
            <cx:txData>
              <cx:f>_xlchart.v1.3</cx:f>
              <cx:v>Quantity</cx:v>
            </cx:txData>
          </cx:tx>
          <cx:dataId val="1"/>
          <cx:layoutPr>
            <cx:visibility meanLine="0" meanMarker="1" nonoutliers="0" outliers="1"/>
            <cx:statistics quartileMethod="exclusive"/>
          </cx:layoutPr>
        </cx:series>
        <cx:series layoutId="boxWhisker" uniqueId="{00000002-6376-4073-B385-53C6949DADB3}">
          <cx:tx>
            <cx:txData>
              <cx:f>_xlchart.v1.5</cx:f>
              <cx:v>encode</cx:v>
            </cx:txData>
          </cx:tx>
          <cx:dataId val="2"/>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_xlchart.v1.7</cx:f>
      </cx:strDim>
      <cx:numDim type="val">
        <cx:f>_xlchart.v1.9</cx:f>
      </cx:numDim>
    </cx:data>
    <cx:data id="1">
      <cx:strDim type="cat">
        <cx:f>_xlchart.v1.7</cx:f>
      </cx:strDim>
      <cx:numDim type="val">
        <cx:f>_xlchart.v1.11</cx:f>
      </cx:numDim>
    </cx:data>
    <cx:data id="2">
      <cx:strDim type="cat">
        <cx:f>_xlchart.v1.7</cx:f>
      </cx:strDim>
      <cx:numDim type="val">
        <cx:f>_xlchart.v1.13</cx:f>
      </cx:numDim>
    </cx:data>
  </cx:chartData>
  <cx:chart>
    <cx:title pos="t" align="ctr" overlay="0"/>
    <cx:plotArea>
      <cx:plotAreaRegion>
        <cx:series layoutId="boxWhisker" uniqueId="{00000000-6376-4073-B385-53C6949DADB3}">
          <cx:tx>
            <cx:txData>
              <cx:f>_xlchart.v1.8</cx:f>
              <cx:v>CustomerLoyaltyScore</cx:v>
            </cx:txData>
          </cx:tx>
          <cx:dataId val="0"/>
          <cx:layoutPr>
            <cx:visibility meanLine="0" meanMarker="1" nonoutliers="0" outliers="1"/>
            <cx:statistics quartileMethod="exclusive"/>
          </cx:layoutPr>
        </cx:series>
        <cx:series layoutId="boxWhisker" uniqueId="{00000001-6376-4073-B385-53C6949DADB3}">
          <cx:tx>
            <cx:txData>
              <cx:f>_xlchart.v1.10</cx:f>
              <cx:v>Quantity</cx:v>
            </cx:txData>
          </cx:tx>
          <cx:dataId val="1"/>
          <cx:layoutPr>
            <cx:visibility meanLine="0" meanMarker="1" nonoutliers="0" outliers="1"/>
            <cx:statistics quartileMethod="exclusive"/>
          </cx:layoutPr>
        </cx:series>
        <cx:series layoutId="boxWhisker" uniqueId="{00000002-6376-4073-B385-53C6949DADB3}">
          <cx:tx>
            <cx:txData>
              <cx:f>_xlchart.v1.12</cx:f>
              <cx:v>encode</cx:v>
            </cx:txData>
          </cx:tx>
          <cx:dataId val="2"/>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7" Type="http://schemas.openxmlformats.org/officeDocument/2006/relationships/chart" Target="../charts/chart10.xml"/><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chart" Target="../charts/chart9.xml"/><Relationship Id="rId5" Type="http://schemas.microsoft.com/office/2014/relationships/chartEx" Target="../charts/chartEx1.xml"/><Relationship Id="rId4" Type="http://schemas.openxmlformats.org/officeDocument/2006/relationships/chart" Target="../charts/chart8.xml"/></Relationships>
</file>

<file path=xl/drawings/_rels/drawing6.xml.rels><?xml version="1.0" encoding="UTF-8" standalone="yes"?>
<Relationships xmlns="http://schemas.openxmlformats.org/package/2006/relationships"><Relationship Id="rId8" Type="http://schemas.openxmlformats.org/officeDocument/2006/relationships/image" Target="../media/image2.emf"/><Relationship Id="rId3" Type="http://schemas.openxmlformats.org/officeDocument/2006/relationships/chart" Target="../charts/chart13.xml"/><Relationship Id="rId7" Type="http://schemas.openxmlformats.org/officeDocument/2006/relationships/image" Target="../media/image1.emf"/><Relationship Id="rId2" Type="http://schemas.openxmlformats.org/officeDocument/2006/relationships/chart" Target="../charts/chart12.xml"/><Relationship Id="rId1" Type="http://schemas.openxmlformats.org/officeDocument/2006/relationships/chart" Target="../charts/chart11.xml"/><Relationship Id="rId6" Type="http://schemas.openxmlformats.org/officeDocument/2006/relationships/chart" Target="../charts/chart15.xml"/><Relationship Id="rId5" Type="http://schemas.openxmlformats.org/officeDocument/2006/relationships/chart" Target="../charts/chart14.xml"/><Relationship Id="rId4"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xdr:from>
      <xdr:col>0</xdr:col>
      <xdr:colOff>419100</xdr:colOff>
      <xdr:row>9</xdr:row>
      <xdr:rowOff>23812</xdr:rowOff>
    </xdr:from>
    <xdr:to>
      <xdr:col>7</xdr:col>
      <xdr:colOff>38100</xdr:colOff>
      <xdr:row>23</xdr:row>
      <xdr:rowOff>100012</xdr:rowOff>
    </xdr:to>
    <xdr:graphicFrame macro="">
      <xdr:nvGraphicFramePr>
        <xdr:cNvPr id="2" name="Chart 1">
          <a:extLst>
            <a:ext uri="{FF2B5EF4-FFF2-40B4-BE49-F238E27FC236}">
              <a16:creationId xmlns:a16="http://schemas.microsoft.com/office/drawing/2014/main" id="{A01A3DA5-F210-FF84-864F-FE25F36829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238125</xdr:colOff>
      <xdr:row>11</xdr:row>
      <xdr:rowOff>52387</xdr:rowOff>
    </xdr:from>
    <xdr:to>
      <xdr:col>14</xdr:col>
      <xdr:colOff>542925</xdr:colOff>
      <xdr:row>25</xdr:row>
      <xdr:rowOff>128587</xdr:rowOff>
    </xdr:to>
    <xdr:graphicFrame macro="">
      <xdr:nvGraphicFramePr>
        <xdr:cNvPr id="2" name="Chart 1">
          <a:extLst>
            <a:ext uri="{FF2B5EF4-FFF2-40B4-BE49-F238E27FC236}">
              <a16:creationId xmlns:a16="http://schemas.microsoft.com/office/drawing/2014/main" id="{9859EE6E-FF29-AF6D-0667-03C83F66B0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457200</xdr:colOff>
      <xdr:row>11</xdr:row>
      <xdr:rowOff>52387</xdr:rowOff>
    </xdr:from>
    <xdr:to>
      <xdr:col>12</xdr:col>
      <xdr:colOff>152400</xdr:colOff>
      <xdr:row>25</xdr:row>
      <xdr:rowOff>128587</xdr:rowOff>
    </xdr:to>
    <xdr:graphicFrame macro="">
      <xdr:nvGraphicFramePr>
        <xdr:cNvPr id="2" name="Chart 1">
          <a:extLst>
            <a:ext uri="{FF2B5EF4-FFF2-40B4-BE49-F238E27FC236}">
              <a16:creationId xmlns:a16="http://schemas.microsoft.com/office/drawing/2014/main" id="{18A5BFA8-67D1-D2CF-BE78-0C017B0C3A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333375</xdr:colOff>
      <xdr:row>5</xdr:row>
      <xdr:rowOff>47625</xdr:rowOff>
    </xdr:from>
    <xdr:to>
      <xdr:col>16</xdr:col>
      <xdr:colOff>333375</xdr:colOff>
      <xdr:row>18</xdr:row>
      <xdr:rowOff>95250</xdr:rowOff>
    </xdr:to>
    <mc:AlternateContent xmlns:mc="http://schemas.openxmlformats.org/markup-compatibility/2006" xmlns:a14="http://schemas.microsoft.com/office/drawing/2010/main">
      <mc:Choice Requires="a14">
        <xdr:graphicFrame macro="">
          <xdr:nvGraphicFramePr>
            <xdr:cNvPr id="3" name="ProductCategory 1">
              <a:extLst>
                <a:ext uri="{FF2B5EF4-FFF2-40B4-BE49-F238E27FC236}">
                  <a16:creationId xmlns:a16="http://schemas.microsoft.com/office/drawing/2014/main" id="{7100C950-BF9D-F5A3-3F7B-4390E4A73D15}"/>
                </a:ext>
              </a:extLst>
            </xdr:cNvPr>
            <xdr:cNvGraphicFramePr/>
          </xdr:nvGraphicFramePr>
          <xdr:xfrm>
            <a:off x="0" y="0"/>
            <a:ext cx="0" cy="0"/>
          </xdr:xfrm>
          <a:graphic>
            <a:graphicData uri="http://schemas.microsoft.com/office/drawing/2010/slicer">
              <sle:slicer xmlns:sle="http://schemas.microsoft.com/office/drawing/2010/slicer" name="ProductCategory 1"/>
            </a:graphicData>
          </a:graphic>
        </xdr:graphicFrame>
      </mc:Choice>
      <mc:Fallback xmlns="">
        <xdr:sp macro="" textlink="">
          <xdr:nvSpPr>
            <xdr:cNvPr id="0" name=""/>
            <xdr:cNvSpPr>
              <a:spLocks noTextEdit="1"/>
            </xdr:cNvSpPr>
          </xdr:nvSpPr>
          <xdr:spPr>
            <a:xfrm>
              <a:off x="10325100" y="10001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9</xdr:col>
      <xdr:colOff>333375</xdr:colOff>
      <xdr:row>12</xdr:row>
      <xdr:rowOff>57150</xdr:rowOff>
    </xdr:from>
    <xdr:to>
      <xdr:col>17</xdr:col>
      <xdr:colOff>28575</xdr:colOff>
      <xdr:row>26</xdr:row>
      <xdr:rowOff>133350</xdr:rowOff>
    </xdr:to>
    <xdr:graphicFrame macro="">
      <xdr:nvGraphicFramePr>
        <xdr:cNvPr id="2" name="Chart 1">
          <a:extLst>
            <a:ext uri="{FF2B5EF4-FFF2-40B4-BE49-F238E27FC236}">
              <a16:creationId xmlns:a16="http://schemas.microsoft.com/office/drawing/2014/main" id="{DA38F07A-F882-A099-3BCB-320A970D4D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9525</xdr:colOff>
      <xdr:row>53</xdr:row>
      <xdr:rowOff>19050</xdr:rowOff>
    </xdr:from>
    <xdr:to>
      <xdr:col>7</xdr:col>
      <xdr:colOff>561975</xdr:colOff>
      <xdr:row>65</xdr:row>
      <xdr:rowOff>176212</xdr:rowOff>
    </xdr:to>
    <xdr:graphicFrame macro="">
      <xdr:nvGraphicFramePr>
        <xdr:cNvPr id="2" name="Chart 1">
          <a:extLst>
            <a:ext uri="{FF2B5EF4-FFF2-40B4-BE49-F238E27FC236}">
              <a16:creationId xmlns:a16="http://schemas.microsoft.com/office/drawing/2014/main" id="{0541D7F9-3CB1-A014-D717-9479FF2604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0</xdr:colOff>
      <xdr:row>33</xdr:row>
      <xdr:rowOff>57151</xdr:rowOff>
    </xdr:from>
    <xdr:to>
      <xdr:col>11</xdr:col>
      <xdr:colOff>676275</xdr:colOff>
      <xdr:row>36</xdr:row>
      <xdr:rowOff>152401</xdr:rowOff>
    </xdr:to>
    <mc:AlternateContent xmlns:mc="http://schemas.openxmlformats.org/markup-compatibility/2006" xmlns:a14="http://schemas.microsoft.com/office/drawing/2010/main">
      <mc:Choice Requires="a14">
        <xdr:graphicFrame macro="">
          <xdr:nvGraphicFramePr>
            <xdr:cNvPr id="4" name="CustomerGender">
              <a:extLst>
                <a:ext uri="{FF2B5EF4-FFF2-40B4-BE49-F238E27FC236}">
                  <a16:creationId xmlns:a16="http://schemas.microsoft.com/office/drawing/2014/main" id="{6C8176E1-DD1D-5B29-6D9B-00ECDC686047}"/>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CustomerGender"/>
            </a:graphicData>
          </a:graphic>
        </xdr:graphicFrame>
      </mc:Choice>
      <mc:Fallback xmlns="">
        <xdr:sp macro="" textlink="">
          <xdr:nvSpPr>
            <xdr:cNvPr id="0" name=""/>
            <xdr:cNvSpPr>
              <a:spLocks noTextEdit="1"/>
            </xdr:cNvSpPr>
          </xdr:nvSpPr>
          <xdr:spPr>
            <a:xfrm>
              <a:off x="7800975" y="6438900"/>
              <a:ext cx="3695700" cy="12477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209550</xdr:colOff>
      <xdr:row>52</xdr:row>
      <xdr:rowOff>100012</xdr:rowOff>
    </xdr:from>
    <xdr:to>
      <xdr:col>13</xdr:col>
      <xdr:colOff>352425</xdr:colOff>
      <xdr:row>66</xdr:row>
      <xdr:rowOff>176212</xdr:rowOff>
    </xdr:to>
    <xdr:graphicFrame macro="">
      <xdr:nvGraphicFramePr>
        <xdr:cNvPr id="5" name="Chart 4">
          <a:extLst>
            <a:ext uri="{FF2B5EF4-FFF2-40B4-BE49-F238E27FC236}">
              <a16:creationId xmlns:a16="http://schemas.microsoft.com/office/drawing/2014/main" id="{429AA2B7-C87F-9674-C441-C5D609E590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104775</xdr:colOff>
      <xdr:row>31</xdr:row>
      <xdr:rowOff>123825</xdr:rowOff>
    </xdr:from>
    <xdr:to>
      <xdr:col>5</xdr:col>
      <xdr:colOff>95249</xdr:colOff>
      <xdr:row>43</xdr:row>
      <xdr:rowOff>161925</xdr:rowOff>
    </xdr:to>
    <mc:AlternateContent xmlns:mc="http://schemas.openxmlformats.org/markup-compatibility/2006" xmlns:a14="http://schemas.microsoft.com/office/drawing/2010/main">
      <mc:Choice Requires="a14">
        <xdr:graphicFrame macro="">
          <xdr:nvGraphicFramePr>
            <xdr:cNvPr id="6" name="ProductCategory">
              <a:extLst>
                <a:ext uri="{FF2B5EF4-FFF2-40B4-BE49-F238E27FC236}">
                  <a16:creationId xmlns:a16="http://schemas.microsoft.com/office/drawing/2014/main" id="{06FC8DA0-22B0-9C24-05DD-675E99DF8F34}"/>
                </a:ext>
              </a:extLst>
            </xdr:cNvPr>
            <xdr:cNvGraphicFramePr/>
          </xdr:nvGraphicFramePr>
          <xdr:xfrm>
            <a:off x="0" y="0"/>
            <a:ext cx="0" cy="0"/>
          </xdr:xfrm>
          <a:graphic>
            <a:graphicData uri="http://schemas.microsoft.com/office/drawing/2010/slicer">
              <sle:slicer xmlns:sle="http://schemas.microsoft.com/office/drawing/2010/slicer" name="ProductCategory"/>
            </a:graphicData>
          </a:graphic>
        </xdr:graphicFrame>
      </mc:Choice>
      <mc:Fallback xmlns="">
        <xdr:sp macro="" textlink="">
          <xdr:nvSpPr>
            <xdr:cNvPr id="0" name=""/>
            <xdr:cNvSpPr>
              <a:spLocks noTextEdit="1"/>
            </xdr:cNvSpPr>
          </xdr:nvSpPr>
          <xdr:spPr>
            <a:xfrm>
              <a:off x="1114425" y="6115050"/>
              <a:ext cx="4362449" cy="23431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828675</xdr:colOff>
      <xdr:row>50</xdr:row>
      <xdr:rowOff>71437</xdr:rowOff>
    </xdr:from>
    <xdr:to>
      <xdr:col>24</xdr:col>
      <xdr:colOff>47625</xdr:colOff>
      <xdr:row>64</xdr:row>
      <xdr:rowOff>147637</xdr:rowOff>
    </xdr:to>
    <xdr:graphicFrame macro="">
      <xdr:nvGraphicFramePr>
        <xdr:cNvPr id="3" name="Chart 2">
          <a:extLst>
            <a:ext uri="{FF2B5EF4-FFF2-40B4-BE49-F238E27FC236}">
              <a16:creationId xmlns:a16="http://schemas.microsoft.com/office/drawing/2014/main" id="{01F08E68-3061-F5CB-A09B-BDE2277AAE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24</xdr:col>
      <xdr:colOff>609600</xdr:colOff>
      <xdr:row>44</xdr:row>
      <xdr:rowOff>9525</xdr:rowOff>
    </xdr:from>
    <xdr:to>
      <xdr:col>26</xdr:col>
      <xdr:colOff>238125</xdr:colOff>
      <xdr:row>54</xdr:row>
      <xdr:rowOff>114300</xdr:rowOff>
    </xdr:to>
    <mc:AlternateContent xmlns:mc="http://schemas.openxmlformats.org/markup-compatibility/2006" xmlns:a14="http://schemas.microsoft.com/office/drawing/2010/main">
      <mc:Choice Requires="a14">
        <xdr:graphicFrame macro="">
          <xdr:nvGraphicFramePr>
            <xdr:cNvPr id="7" name="PaymentMethod">
              <a:extLst>
                <a:ext uri="{FF2B5EF4-FFF2-40B4-BE49-F238E27FC236}">
                  <a16:creationId xmlns:a16="http://schemas.microsoft.com/office/drawing/2014/main" id="{FFD55D9A-A398-5B33-5C81-06801D8CC58F}"/>
                </a:ext>
              </a:extLst>
            </xdr:cNvPr>
            <xdr:cNvGraphicFramePr/>
          </xdr:nvGraphicFramePr>
          <xdr:xfrm>
            <a:off x="0" y="0"/>
            <a:ext cx="0" cy="0"/>
          </xdr:xfrm>
          <a:graphic>
            <a:graphicData uri="http://schemas.microsoft.com/office/drawing/2010/slicer">
              <sle:slicer xmlns:sle="http://schemas.microsoft.com/office/drawing/2010/slicer" name="PaymentMethod"/>
            </a:graphicData>
          </a:graphic>
        </xdr:graphicFrame>
      </mc:Choice>
      <mc:Fallback xmlns="">
        <xdr:sp macro="" textlink="">
          <xdr:nvSpPr>
            <xdr:cNvPr id="0" name=""/>
            <xdr:cNvSpPr>
              <a:spLocks noTextEdit="1"/>
            </xdr:cNvSpPr>
          </xdr:nvSpPr>
          <xdr:spPr>
            <a:xfrm>
              <a:off x="21336000" y="8496300"/>
              <a:ext cx="1828800" cy="20097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633412</xdr:colOff>
      <xdr:row>67</xdr:row>
      <xdr:rowOff>142875</xdr:rowOff>
    </xdr:from>
    <xdr:to>
      <xdr:col>7</xdr:col>
      <xdr:colOff>604837</xdr:colOff>
      <xdr:row>82</xdr:row>
      <xdr:rowOff>28575</xdr:rowOff>
    </xdr:to>
    <xdr:graphicFrame macro="">
      <xdr:nvGraphicFramePr>
        <xdr:cNvPr id="8" name="Chart 7">
          <a:extLst>
            <a:ext uri="{FF2B5EF4-FFF2-40B4-BE49-F238E27FC236}">
              <a16:creationId xmlns:a16="http://schemas.microsoft.com/office/drawing/2014/main" id="{0FAD3268-83BE-CCED-4E10-2CE59898C8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66675</xdr:colOff>
      <xdr:row>67</xdr:row>
      <xdr:rowOff>171450</xdr:rowOff>
    </xdr:from>
    <xdr:to>
      <xdr:col>13</xdr:col>
      <xdr:colOff>19050</xdr:colOff>
      <xdr:row>82</xdr:row>
      <xdr:rowOff>57150</xdr:rowOff>
    </xdr:to>
    <mc:AlternateContent xmlns:mc="http://schemas.openxmlformats.org/markup-compatibility/2006">
      <mc:Choice xmlns:cx1="http://schemas.microsoft.com/office/drawing/2015/9/8/chartex" Requires="cx1">
        <xdr:graphicFrame macro="">
          <xdr:nvGraphicFramePr>
            <xdr:cNvPr id="9" name="Chart 8">
              <a:extLst>
                <a:ext uri="{FF2B5EF4-FFF2-40B4-BE49-F238E27FC236}">
                  <a16:creationId xmlns:a16="http://schemas.microsoft.com/office/drawing/2014/main" id="{3367AF42-A23D-4C57-778C-6B913CF4C34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7867650" y="13039725"/>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13</xdr:col>
      <xdr:colOff>857250</xdr:colOff>
      <xdr:row>67</xdr:row>
      <xdr:rowOff>114300</xdr:rowOff>
    </xdr:from>
    <xdr:to>
      <xdr:col>19</xdr:col>
      <xdr:colOff>609600</xdr:colOff>
      <xdr:row>81</xdr:row>
      <xdr:rowOff>133350</xdr:rowOff>
    </xdr:to>
    <xdr:graphicFrame macro="">
      <xdr:nvGraphicFramePr>
        <xdr:cNvPr id="10" name="Chart 9">
          <a:extLst>
            <a:ext uri="{FF2B5EF4-FFF2-40B4-BE49-F238E27FC236}">
              <a16:creationId xmlns:a16="http://schemas.microsoft.com/office/drawing/2014/main" id="{5CD0E8B8-B6E2-8A87-A8D7-88A803332A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21</xdr:col>
      <xdr:colOff>666749</xdr:colOff>
      <xdr:row>67</xdr:row>
      <xdr:rowOff>136072</xdr:rowOff>
    </xdr:from>
    <xdr:to>
      <xdr:col>27</xdr:col>
      <xdr:colOff>481693</xdr:colOff>
      <xdr:row>82</xdr:row>
      <xdr:rowOff>21772</xdr:rowOff>
    </xdr:to>
    <xdr:graphicFrame macro="">
      <xdr:nvGraphicFramePr>
        <xdr:cNvPr id="11" name="Chart 10">
          <a:extLst>
            <a:ext uri="{FF2B5EF4-FFF2-40B4-BE49-F238E27FC236}">
              <a16:creationId xmlns:a16="http://schemas.microsoft.com/office/drawing/2014/main" id="{0AE50C29-CE83-8101-685E-55FACB8F8C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409575</xdr:colOff>
      <xdr:row>5</xdr:row>
      <xdr:rowOff>47625</xdr:rowOff>
    </xdr:from>
    <xdr:to>
      <xdr:col>9</xdr:col>
      <xdr:colOff>438150</xdr:colOff>
      <xdr:row>21</xdr:row>
      <xdr:rowOff>19050</xdr:rowOff>
    </xdr:to>
    <xdr:sp macro="" textlink="">
      <xdr:nvSpPr>
        <xdr:cNvPr id="2" name="Rectangle: Rounded Corners 1">
          <a:extLst>
            <a:ext uri="{FF2B5EF4-FFF2-40B4-BE49-F238E27FC236}">
              <a16:creationId xmlns:a16="http://schemas.microsoft.com/office/drawing/2014/main" id="{5C139B81-DC7F-A4E8-5F58-C7E6F2743707}"/>
            </a:ext>
          </a:extLst>
        </xdr:cNvPr>
        <xdr:cNvSpPr/>
      </xdr:nvSpPr>
      <xdr:spPr>
        <a:xfrm>
          <a:off x="409575" y="1000125"/>
          <a:ext cx="5514975" cy="3019425"/>
        </a:xfrm>
        <a:prstGeom prst="round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457200</xdr:colOff>
      <xdr:row>0</xdr:row>
      <xdr:rowOff>161925</xdr:rowOff>
    </xdr:from>
    <xdr:to>
      <xdr:col>15</xdr:col>
      <xdr:colOff>542925</xdr:colOff>
      <xdr:row>4</xdr:row>
      <xdr:rowOff>114300</xdr:rowOff>
    </xdr:to>
    <xdr:sp macro="" textlink="">
      <xdr:nvSpPr>
        <xdr:cNvPr id="10" name="Rectangle: Rounded Corners 9">
          <a:extLst>
            <a:ext uri="{FF2B5EF4-FFF2-40B4-BE49-F238E27FC236}">
              <a16:creationId xmlns:a16="http://schemas.microsoft.com/office/drawing/2014/main" id="{D1128C7F-5739-630D-1C21-BDACE27E9DA7}"/>
            </a:ext>
          </a:extLst>
        </xdr:cNvPr>
        <xdr:cNvSpPr/>
      </xdr:nvSpPr>
      <xdr:spPr>
        <a:xfrm>
          <a:off x="457200" y="161925"/>
          <a:ext cx="9229725" cy="714375"/>
        </a:xfrm>
        <a:prstGeom prst="roundRect">
          <a:avLst/>
        </a:prstGeom>
        <a:solidFill>
          <a:schemeClr val="accent1">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ctr"/>
          <a:r>
            <a:rPr lang="en-IN" sz="4400"/>
            <a:t>Ecommerce Sales Data</a:t>
          </a:r>
        </a:p>
      </xdr:txBody>
    </xdr:sp>
    <xdr:clientData/>
  </xdr:twoCellAnchor>
  <xdr:twoCellAnchor>
    <xdr:from>
      <xdr:col>10</xdr:col>
      <xdr:colOff>95249</xdr:colOff>
      <xdr:row>5</xdr:row>
      <xdr:rowOff>114300</xdr:rowOff>
    </xdr:from>
    <xdr:to>
      <xdr:col>19</xdr:col>
      <xdr:colOff>295275</xdr:colOff>
      <xdr:row>20</xdr:row>
      <xdr:rowOff>152400</xdr:rowOff>
    </xdr:to>
    <xdr:sp macro="" textlink="">
      <xdr:nvSpPr>
        <xdr:cNvPr id="11" name="Rectangle: Rounded Corners 10">
          <a:extLst>
            <a:ext uri="{FF2B5EF4-FFF2-40B4-BE49-F238E27FC236}">
              <a16:creationId xmlns:a16="http://schemas.microsoft.com/office/drawing/2014/main" id="{BC7E5257-2471-B7E9-593E-FDEE5CDDFB1F}"/>
            </a:ext>
          </a:extLst>
        </xdr:cNvPr>
        <xdr:cNvSpPr/>
      </xdr:nvSpPr>
      <xdr:spPr>
        <a:xfrm>
          <a:off x="6191249" y="1066800"/>
          <a:ext cx="5686426" cy="2895600"/>
        </a:xfrm>
        <a:prstGeom prst="round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19050</xdr:colOff>
      <xdr:row>5</xdr:row>
      <xdr:rowOff>161925</xdr:rowOff>
    </xdr:from>
    <xdr:to>
      <xdr:col>9</xdr:col>
      <xdr:colOff>342900</xdr:colOff>
      <xdr:row>21</xdr:row>
      <xdr:rowOff>28575</xdr:rowOff>
    </xdr:to>
    <xdr:graphicFrame macro="">
      <xdr:nvGraphicFramePr>
        <xdr:cNvPr id="13" name="Chart 12">
          <a:extLst>
            <a:ext uri="{FF2B5EF4-FFF2-40B4-BE49-F238E27FC236}">
              <a16:creationId xmlns:a16="http://schemas.microsoft.com/office/drawing/2014/main" id="{F461EBE3-9FD1-47EC-8A42-BC07D34481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24</xdr:col>
      <xdr:colOff>180975</xdr:colOff>
      <xdr:row>1</xdr:row>
      <xdr:rowOff>28574</xdr:rowOff>
    </xdr:from>
    <xdr:to>
      <xdr:col>28</xdr:col>
      <xdr:colOff>466725</xdr:colOff>
      <xdr:row>4</xdr:row>
      <xdr:rowOff>161925</xdr:rowOff>
    </xdr:to>
    <mc:AlternateContent xmlns:mc="http://schemas.openxmlformats.org/markup-compatibility/2006">
      <mc:Choice xmlns:a14="http://schemas.microsoft.com/office/drawing/2010/main" Requires="a14">
        <xdr:graphicFrame macro="">
          <xdr:nvGraphicFramePr>
            <xdr:cNvPr id="14" name="CustomerGender 1">
              <a:extLst>
                <a:ext uri="{FF2B5EF4-FFF2-40B4-BE49-F238E27FC236}">
                  <a16:creationId xmlns:a16="http://schemas.microsoft.com/office/drawing/2014/main" id="{2C0E8789-F3EC-4614-B4E9-B9C8E2F44BE8}"/>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CustomerGender 1"/>
            </a:graphicData>
          </a:graphic>
        </xdr:graphicFrame>
      </mc:Choice>
      <mc:Fallback>
        <xdr:sp macro="" textlink="">
          <xdr:nvSpPr>
            <xdr:cNvPr id="0" name=""/>
            <xdr:cNvSpPr>
              <a:spLocks noTextEdit="1"/>
            </xdr:cNvSpPr>
          </xdr:nvSpPr>
          <xdr:spPr>
            <a:xfrm>
              <a:off x="14811375" y="219074"/>
              <a:ext cx="2724150" cy="7048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400049</xdr:colOff>
      <xdr:row>5</xdr:row>
      <xdr:rowOff>133350</xdr:rowOff>
    </xdr:from>
    <xdr:to>
      <xdr:col>19</xdr:col>
      <xdr:colOff>200024</xdr:colOff>
      <xdr:row>21</xdr:row>
      <xdr:rowOff>0</xdr:rowOff>
    </xdr:to>
    <xdr:graphicFrame macro="">
      <xdr:nvGraphicFramePr>
        <xdr:cNvPr id="15" name="Chart 14">
          <a:extLst>
            <a:ext uri="{FF2B5EF4-FFF2-40B4-BE49-F238E27FC236}">
              <a16:creationId xmlns:a16="http://schemas.microsoft.com/office/drawing/2014/main" id="{AFB1772E-CED6-401D-B1B2-209E96FC46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438149</xdr:colOff>
      <xdr:row>5</xdr:row>
      <xdr:rowOff>152400</xdr:rowOff>
    </xdr:from>
    <xdr:to>
      <xdr:col>28</xdr:col>
      <xdr:colOff>333374</xdr:colOff>
      <xdr:row>20</xdr:row>
      <xdr:rowOff>161925</xdr:rowOff>
    </xdr:to>
    <xdr:sp macro="" textlink="">
      <xdr:nvSpPr>
        <xdr:cNvPr id="16" name="Rectangle: Rounded Corners 15">
          <a:extLst>
            <a:ext uri="{FF2B5EF4-FFF2-40B4-BE49-F238E27FC236}">
              <a16:creationId xmlns:a16="http://schemas.microsoft.com/office/drawing/2014/main" id="{36D1F7F6-D3FA-F8F3-C53B-D1DEB7F16DD1}"/>
            </a:ext>
          </a:extLst>
        </xdr:cNvPr>
        <xdr:cNvSpPr/>
      </xdr:nvSpPr>
      <xdr:spPr>
        <a:xfrm>
          <a:off x="12020549" y="1104900"/>
          <a:ext cx="5381625" cy="2867025"/>
        </a:xfrm>
        <a:prstGeom prst="round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114300</xdr:colOff>
      <xdr:row>22</xdr:row>
      <xdr:rowOff>171450</xdr:rowOff>
    </xdr:from>
    <xdr:to>
      <xdr:col>10</xdr:col>
      <xdr:colOff>38100</xdr:colOff>
      <xdr:row>40</xdr:row>
      <xdr:rowOff>57150</xdr:rowOff>
    </xdr:to>
    <xdr:sp macro="" textlink="">
      <xdr:nvSpPr>
        <xdr:cNvPr id="18" name="Rectangle: Rounded Corners 17">
          <a:extLst>
            <a:ext uri="{FF2B5EF4-FFF2-40B4-BE49-F238E27FC236}">
              <a16:creationId xmlns:a16="http://schemas.microsoft.com/office/drawing/2014/main" id="{AC601E50-6E6B-12A8-CFDF-5A4C743F4150}"/>
            </a:ext>
          </a:extLst>
        </xdr:cNvPr>
        <xdr:cNvSpPr/>
      </xdr:nvSpPr>
      <xdr:spPr>
        <a:xfrm>
          <a:off x="723900" y="4362450"/>
          <a:ext cx="5410200" cy="3314700"/>
        </a:xfrm>
        <a:prstGeom prst="round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28575</xdr:colOff>
      <xdr:row>24</xdr:row>
      <xdr:rowOff>38100</xdr:rowOff>
    </xdr:from>
    <xdr:to>
      <xdr:col>9</xdr:col>
      <xdr:colOff>333375</xdr:colOff>
      <xdr:row>38</xdr:row>
      <xdr:rowOff>114300</xdr:rowOff>
    </xdr:to>
    <xdr:graphicFrame macro="">
      <xdr:nvGraphicFramePr>
        <xdr:cNvPr id="19" name="Chart 18">
          <a:extLst>
            <a:ext uri="{FF2B5EF4-FFF2-40B4-BE49-F238E27FC236}">
              <a16:creationId xmlns:a16="http://schemas.microsoft.com/office/drawing/2014/main" id="{EDD039FC-A2AC-4332-B331-BE2753D6C6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247650</xdr:colOff>
      <xdr:row>22</xdr:row>
      <xdr:rowOff>104775</xdr:rowOff>
    </xdr:from>
    <xdr:to>
      <xdr:col>19</xdr:col>
      <xdr:colOff>381000</xdr:colOff>
      <xdr:row>39</xdr:row>
      <xdr:rowOff>0</xdr:rowOff>
    </xdr:to>
    <xdr:sp macro="" textlink="">
      <xdr:nvSpPr>
        <xdr:cNvPr id="20" name="Rectangle: Rounded Corners 19">
          <a:extLst>
            <a:ext uri="{FF2B5EF4-FFF2-40B4-BE49-F238E27FC236}">
              <a16:creationId xmlns:a16="http://schemas.microsoft.com/office/drawing/2014/main" id="{C6C762F2-FF5C-D05C-FB86-63DF80CC6D2D}"/>
            </a:ext>
          </a:extLst>
        </xdr:cNvPr>
        <xdr:cNvSpPr/>
      </xdr:nvSpPr>
      <xdr:spPr>
        <a:xfrm>
          <a:off x="6343650" y="4295775"/>
          <a:ext cx="5619750" cy="3133725"/>
        </a:xfrm>
        <a:prstGeom prst="round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523875</xdr:colOff>
      <xdr:row>22</xdr:row>
      <xdr:rowOff>85725</xdr:rowOff>
    </xdr:from>
    <xdr:to>
      <xdr:col>28</xdr:col>
      <xdr:colOff>295275</xdr:colOff>
      <xdr:row>38</xdr:row>
      <xdr:rowOff>171450</xdr:rowOff>
    </xdr:to>
    <xdr:sp macro="" textlink="">
      <xdr:nvSpPr>
        <xdr:cNvPr id="21" name="Rectangle: Rounded Corners 20">
          <a:extLst>
            <a:ext uri="{FF2B5EF4-FFF2-40B4-BE49-F238E27FC236}">
              <a16:creationId xmlns:a16="http://schemas.microsoft.com/office/drawing/2014/main" id="{3037E612-5B75-A95A-ED9E-F31B1B988518}"/>
            </a:ext>
          </a:extLst>
        </xdr:cNvPr>
        <xdr:cNvSpPr/>
      </xdr:nvSpPr>
      <xdr:spPr>
        <a:xfrm>
          <a:off x="12106275" y="4276725"/>
          <a:ext cx="5257800" cy="3133725"/>
        </a:xfrm>
        <a:prstGeom prst="round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171450</xdr:colOff>
      <xdr:row>23</xdr:row>
      <xdr:rowOff>133350</xdr:rowOff>
    </xdr:from>
    <xdr:to>
      <xdr:col>18</xdr:col>
      <xdr:colOff>476250</xdr:colOff>
      <xdr:row>38</xdr:row>
      <xdr:rowOff>19050</xdr:rowOff>
    </xdr:to>
    <mc:AlternateContent xmlns:mc="http://schemas.openxmlformats.org/markup-compatibility/2006">
      <mc:Choice xmlns:cx1="http://schemas.microsoft.com/office/drawing/2015/9/8/chartex" Requires="cx1">
        <xdr:graphicFrame macro="">
          <xdr:nvGraphicFramePr>
            <xdr:cNvPr id="22" name="Chart 21">
              <a:extLst>
                <a:ext uri="{FF2B5EF4-FFF2-40B4-BE49-F238E27FC236}">
                  <a16:creationId xmlns:a16="http://schemas.microsoft.com/office/drawing/2014/main" id="{6D6A520C-607C-4C49-82B7-E45C3E9B572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6877050" y="451485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20</xdr:col>
      <xdr:colOff>285750</xdr:colOff>
      <xdr:row>23</xdr:row>
      <xdr:rowOff>76200</xdr:rowOff>
    </xdr:from>
    <xdr:to>
      <xdr:col>27</xdr:col>
      <xdr:colOff>590550</xdr:colOff>
      <xdr:row>37</xdr:row>
      <xdr:rowOff>152400</xdr:rowOff>
    </xdr:to>
    <xdr:graphicFrame macro="">
      <xdr:nvGraphicFramePr>
        <xdr:cNvPr id="23" name="Chart 22">
          <a:extLst>
            <a:ext uri="{FF2B5EF4-FFF2-40B4-BE49-F238E27FC236}">
              <a16:creationId xmlns:a16="http://schemas.microsoft.com/office/drawing/2014/main" id="{2154A9A2-BD5D-4711-9D32-264489C472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352425</xdr:colOff>
      <xdr:row>6</xdr:row>
      <xdr:rowOff>57150</xdr:rowOff>
    </xdr:from>
    <xdr:to>
      <xdr:col>27</xdr:col>
      <xdr:colOff>457200</xdr:colOff>
      <xdr:row>19</xdr:row>
      <xdr:rowOff>161925</xdr:rowOff>
    </xdr:to>
    <xdr:graphicFrame macro="">
      <xdr:nvGraphicFramePr>
        <xdr:cNvPr id="24" name="Chart 23">
          <a:extLst>
            <a:ext uri="{FF2B5EF4-FFF2-40B4-BE49-F238E27FC236}">
              <a16:creationId xmlns:a16="http://schemas.microsoft.com/office/drawing/2014/main" id="{BFB021F2-88AE-474C-8C32-FAEF34E055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123825</xdr:colOff>
      <xdr:row>0</xdr:row>
      <xdr:rowOff>171450</xdr:rowOff>
    </xdr:from>
    <xdr:to>
      <xdr:col>19</xdr:col>
      <xdr:colOff>333375</xdr:colOff>
      <xdr:row>4</xdr:row>
      <xdr:rowOff>171450</xdr:rowOff>
    </xdr:to>
    <xdr:sp macro="" textlink="">
      <xdr:nvSpPr>
        <xdr:cNvPr id="25" name="Rectangle: Rounded Corners 24">
          <a:extLst>
            <a:ext uri="{FF2B5EF4-FFF2-40B4-BE49-F238E27FC236}">
              <a16:creationId xmlns:a16="http://schemas.microsoft.com/office/drawing/2014/main" id="{8334D3E0-E523-C1C1-84F1-13E134B0FCCB}"/>
            </a:ext>
          </a:extLst>
        </xdr:cNvPr>
        <xdr:cNvSpPr/>
      </xdr:nvSpPr>
      <xdr:spPr>
        <a:xfrm>
          <a:off x="9877425" y="171450"/>
          <a:ext cx="2038350" cy="762000"/>
        </a:xfrm>
        <a:prstGeom prst="roundRect">
          <a:avLst/>
        </a:prstGeom>
        <a:solidFill>
          <a:schemeClr val="accent1">
            <a:lumMod val="60000"/>
            <a:lumOff val="40000"/>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ctr"/>
          <a:r>
            <a:rPr lang="en-IN" sz="1600"/>
            <a:t>Average discount</a:t>
          </a:r>
        </a:p>
        <a:p>
          <a:pPr algn="l"/>
          <a:endParaRPr lang="en-IN" sz="1100"/>
        </a:p>
      </xdr:txBody>
    </xdr:sp>
    <xdr:clientData/>
  </xdr:twoCellAnchor>
  <xdr:twoCellAnchor editAs="oneCell">
    <xdr:from>
      <xdr:col>16</xdr:col>
      <xdr:colOff>561974</xdr:colOff>
      <xdr:row>2</xdr:row>
      <xdr:rowOff>152400</xdr:rowOff>
    </xdr:from>
    <xdr:to>
      <xdr:col>18</xdr:col>
      <xdr:colOff>438149</xdr:colOff>
      <xdr:row>4</xdr:row>
      <xdr:rowOff>58936</xdr:rowOff>
    </xdr:to>
    <xdr:pic>
      <xdr:nvPicPr>
        <xdr:cNvPr id="26" name="Picture 25">
          <a:extLst>
            <a:ext uri="{FF2B5EF4-FFF2-40B4-BE49-F238E27FC236}">
              <a16:creationId xmlns:a16="http://schemas.microsoft.com/office/drawing/2014/main" id="{6920EF25-BFBA-8F6E-9A9E-4DE502A3F6E8}"/>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0315574" y="533400"/>
          <a:ext cx="1095375" cy="28753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20</xdr:col>
      <xdr:colOff>38099</xdr:colOff>
      <xdr:row>0</xdr:row>
      <xdr:rowOff>180974</xdr:rowOff>
    </xdr:from>
    <xdr:to>
      <xdr:col>23</xdr:col>
      <xdr:colOff>219074</xdr:colOff>
      <xdr:row>4</xdr:row>
      <xdr:rowOff>114299</xdr:rowOff>
    </xdr:to>
    <xdr:sp macro="" textlink="">
      <xdr:nvSpPr>
        <xdr:cNvPr id="27" name="Arrow: Pentagon 26">
          <a:extLst>
            <a:ext uri="{FF2B5EF4-FFF2-40B4-BE49-F238E27FC236}">
              <a16:creationId xmlns:a16="http://schemas.microsoft.com/office/drawing/2014/main" id="{25477C70-E6C2-91D4-C4AD-FF98C566FDB2}"/>
            </a:ext>
          </a:extLst>
        </xdr:cNvPr>
        <xdr:cNvSpPr/>
      </xdr:nvSpPr>
      <xdr:spPr>
        <a:xfrm>
          <a:off x="12230099" y="180974"/>
          <a:ext cx="2009775" cy="695325"/>
        </a:xfrm>
        <a:prstGeom prst="homePlate">
          <a:avLst>
            <a:gd name="adj" fmla="val 62329"/>
          </a:avLst>
        </a:prstGeom>
        <a:solidFill>
          <a:schemeClr val="accent1">
            <a:lumMod val="60000"/>
            <a:lumOff val="40000"/>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lang="en-IN" sz="1600"/>
            <a:t>Average price </a:t>
          </a:r>
        </a:p>
      </xdr:txBody>
    </xdr:sp>
    <xdr:clientData/>
  </xdr:twoCellAnchor>
  <xdr:twoCellAnchor editAs="oneCell">
    <xdr:from>
      <xdr:col>20</xdr:col>
      <xdr:colOff>257175</xdr:colOff>
      <xdr:row>2</xdr:row>
      <xdr:rowOff>161925</xdr:rowOff>
    </xdr:from>
    <xdr:to>
      <xdr:col>22</xdr:col>
      <xdr:colOff>28575</xdr:colOff>
      <xdr:row>4</xdr:row>
      <xdr:rowOff>40958</xdr:rowOff>
    </xdr:to>
    <xdr:pic>
      <xdr:nvPicPr>
        <xdr:cNvPr id="28" name="Picture 27">
          <a:extLst>
            <a:ext uri="{FF2B5EF4-FFF2-40B4-BE49-F238E27FC236}">
              <a16:creationId xmlns:a16="http://schemas.microsoft.com/office/drawing/2014/main" id="{10EE8C8B-858B-CAA3-27B5-B27CE5B1FBB4}"/>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2449175" y="542925"/>
          <a:ext cx="990600" cy="26003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TS" refreshedDate="46179.515736226851" createdVersion="8" refreshedVersion="8" minRefreshableVersion="3" recordCount="31" xr:uid="{4C933B4B-3206-4FBA-9003-BBAA61E1282A}">
  <cacheSource type="worksheet">
    <worksheetSource ref="A1:P32" sheet="ecommerce_sales_data"/>
  </cacheSource>
  <cacheFields count="16">
    <cacheField name="TransactionID" numFmtId="0">
      <sharedItems containsString="0" containsBlank="1" containsNumber="1" containsInteger="1" minValue="1" maxValue="30"/>
    </cacheField>
    <cacheField name="CustomerID" numFmtId="0">
      <sharedItems containsString="0" containsBlank="1" containsNumber="1" containsInteger="1" minValue="1189" maxValue="9666"/>
    </cacheField>
    <cacheField name="ProductID" numFmtId="0">
      <sharedItems containsString="0" containsBlank="1" containsNumber="1" containsInteger="1" minValue="150" maxValue="948"/>
    </cacheField>
    <cacheField name="ProductCategory" numFmtId="0">
      <sharedItems containsBlank="1" count="8">
        <s v="Clothing"/>
        <s v="Beauty"/>
        <s v="Toys"/>
        <s v="Electronics"/>
        <s v="Books"/>
        <s v="Sports"/>
        <s v="Home &amp; Kitchen"/>
        <m/>
      </sharedItems>
    </cacheField>
    <cacheField name="PaymentMethod" numFmtId="0">
      <sharedItems containsBlank="1"/>
    </cacheField>
    <cacheField name="Price" numFmtId="0">
      <sharedItems containsString="0" containsBlank="1" containsNumber="1" minValue="6.58" maxValue="954.41"/>
    </cacheField>
    <cacheField name="Discount" numFmtId="0">
      <sharedItems containsString="0" containsBlank="1" containsNumber="1" minValue="0.01" maxValue="0.28999999999999998"/>
    </cacheField>
    <cacheField name="TransactionDate" numFmtId="0">
      <sharedItems containsNonDate="0" containsDate="1" containsString="0" containsBlank="1" minDate="2023-09-26T05:18:00" maxDate="2024-08-12T12:13:00"/>
    </cacheField>
    <cacheField name="Column1" numFmtId="0">
      <sharedItems containsNonDate="0" containsString="0" containsBlank="1"/>
    </cacheField>
    <cacheField name="CustomerLocation" numFmtId="0">
      <sharedItems containsBlank="1"/>
    </cacheField>
    <cacheField name="CustomerAge" numFmtId="0">
      <sharedItems containsString="0" containsBlank="1" containsNumber="1" containsInteger="1" minValue="20" maxValue="69"/>
    </cacheField>
    <cacheField name="CustomerGender" numFmtId="0">
      <sharedItems containsBlank="1" count="4">
        <s v="Female"/>
        <s v="Other"/>
        <s v="Male"/>
        <m/>
      </sharedItems>
    </cacheField>
    <cacheField name="CustomerIncomeGroup" numFmtId="0">
      <sharedItems containsBlank="1"/>
    </cacheField>
    <cacheField name="CustomerLoyaltyScore" numFmtId="0">
      <sharedItems containsString="0" containsBlank="1" containsNumber="1" minValue="9.93" maxValue="97.73"/>
    </cacheField>
    <cacheField name="Quantity" numFmtId="0">
      <sharedItems containsString="0" containsBlank="1" containsNumber="1" containsInteger="1" minValue="1" maxValue="4"/>
    </cacheField>
    <cacheField name="encode" numFmtId="0">
      <sharedItems containsString="0" containsBlank="1" containsNumber="1" containsInteger="1" minValue="0" maxValue="6"/>
    </cacheField>
  </cacheFields>
  <extLst>
    <ext xmlns:x14="http://schemas.microsoft.com/office/spreadsheetml/2009/9/main" uri="{725AE2AE-9491-48be-B2B4-4EB974FC3084}">
      <x14:pivotCacheDefinition pivotCacheId="81011476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TS" refreshedDate="46179.524775231483" createdVersion="8" refreshedVersion="8" minRefreshableVersion="3" recordCount="30" xr:uid="{6A585087-A05E-4BAF-8050-25392EFE72EA}">
  <cacheSource type="worksheet">
    <worksheetSource ref="A1:P31" sheet="ecommerce_sales_data"/>
  </cacheSource>
  <cacheFields count="16">
    <cacheField name="TransactionID" numFmtId="0">
      <sharedItems containsSemiMixedTypes="0" containsString="0" containsNumber="1" containsInteger="1" minValue="1" maxValue="30"/>
    </cacheField>
    <cacheField name="CustomerID" numFmtId="0">
      <sharedItems containsSemiMixedTypes="0" containsString="0" containsNumber="1" containsInteger="1" minValue="1189" maxValue="9666"/>
    </cacheField>
    <cacheField name="ProductID" numFmtId="0">
      <sharedItems containsSemiMixedTypes="0" containsString="0" containsNumber="1" containsInteger="1" minValue="150" maxValue="948"/>
    </cacheField>
    <cacheField name="ProductCategory" numFmtId="0">
      <sharedItems count="7">
        <s v="Clothing"/>
        <s v="Beauty"/>
        <s v="Toys"/>
        <s v="Electronics"/>
        <s v="Books"/>
        <s v="Sports"/>
        <s v="Home &amp; Kitchen"/>
      </sharedItems>
    </cacheField>
    <cacheField name="PaymentMethod" numFmtId="0">
      <sharedItems count="5">
        <s v="Cash on Delivery"/>
        <s v="Debit Card"/>
        <s v="Bank Transfer"/>
        <s v="Credit Card"/>
        <s v="PayPal"/>
      </sharedItems>
    </cacheField>
    <cacheField name="Price" numFmtId="0">
      <sharedItems containsSemiMixedTypes="0" containsString="0" containsNumber="1" minValue="6.58" maxValue="954.41"/>
    </cacheField>
    <cacheField name="Discount" numFmtId="0">
      <sharedItems containsSemiMixedTypes="0" containsString="0" containsNumber="1" minValue="0.01" maxValue="0.28999999999999998"/>
    </cacheField>
    <cacheField name="TransactionDate" numFmtId="22">
      <sharedItems containsSemiMixedTypes="0" containsNonDate="0" containsDate="1" containsString="0" minDate="2023-09-26T05:18:00" maxDate="2024-08-12T12:13:00"/>
    </cacheField>
    <cacheField name="Column1" numFmtId="0">
      <sharedItems containsNonDate="0" containsString="0" containsBlank="1"/>
    </cacheField>
    <cacheField name="CustomerLocation" numFmtId="0">
      <sharedItems/>
    </cacheField>
    <cacheField name="CustomerAge" numFmtId="0">
      <sharedItems containsSemiMixedTypes="0" containsString="0" containsNumber="1" containsInteger="1" minValue="20" maxValue="69"/>
    </cacheField>
    <cacheField name="CustomerGender" numFmtId="0">
      <sharedItems count="3">
        <s v="Female"/>
        <s v="Other"/>
        <s v="Male"/>
      </sharedItems>
    </cacheField>
    <cacheField name="CustomerIncomeGroup" numFmtId="0">
      <sharedItems/>
    </cacheField>
    <cacheField name="CustomerLoyaltyScore" numFmtId="0">
      <sharedItems containsSemiMixedTypes="0" containsString="0" containsNumber="1" minValue="9.93" maxValue="97.73"/>
    </cacheField>
    <cacheField name="Quantity" numFmtId="0">
      <sharedItems containsSemiMixedTypes="0" containsString="0" containsNumber="1" containsInteger="1" minValue="1" maxValue="4"/>
    </cacheField>
    <cacheField name="encode" numFmtId="0">
      <sharedItems containsSemiMixedTypes="0" containsString="0" containsNumber="1" containsInteger="1" minValue="0" maxValue="6"/>
    </cacheField>
  </cacheFields>
  <extLst>
    <ext xmlns:x14="http://schemas.microsoft.com/office/spreadsheetml/2009/9/main" uri="{725AE2AE-9491-48be-B2B4-4EB974FC3084}">
      <x14:pivotCacheDefinition pivotCacheId="119292686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TS" refreshedDate="46179.598922453704" createdVersion="8" refreshedVersion="8" minRefreshableVersion="3" recordCount="30" xr:uid="{0EF423DE-8E26-4D5E-998F-280596C99C9A}">
  <cacheSource type="worksheet">
    <worksheetSource name="Table3"/>
  </cacheSource>
  <cacheFields count="16">
    <cacheField name="TransactionID" numFmtId="0">
      <sharedItems containsSemiMixedTypes="0" containsString="0" containsNumber="1" containsInteger="1" minValue="1" maxValue="30"/>
    </cacheField>
    <cacheField name="CustomerID" numFmtId="0">
      <sharedItems containsSemiMixedTypes="0" containsString="0" containsNumber="1" containsInteger="1" minValue="1189" maxValue="9666"/>
    </cacheField>
    <cacheField name="ProductID" numFmtId="0">
      <sharedItems containsSemiMixedTypes="0" containsString="0" containsNumber="1" containsInteger="1" minValue="150" maxValue="948"/>
    </cacheField>
    <cacheField name="ProductCategory" numFmtId="0">
      <sharedItems/>
    </cacheField>
    <cacheField name="PaymentMethod" numFmtId="0">
      <sharedItems count="5">
        <s v="Cash on Delivery"/>
        <s v="Debit Card"/>
        <s v="Bank Transfer"/>
        <s v="Credit Card"/>
        <s v="PayPal"/>
      </sharedItems>
    </cacheField>
    <cacheField name="Price" numFmtId="0">
      <sharedItems containsSemiMixedTypes="0" containsString="0" containsNumber="1" minValue="6.58" maxValue="954.41"/>
    </cacheField>
    <cacheField name="Discount" numFmtId="0">
      <sharedItems containsSemiMixedTypes="0" containsString="0" containsNumber="1" minValue="0.01" maxValue="0.28999999999999998"/>
    </cacheField>
    <cacheField name="TransactionDate" numFmtId="22">
      <sharedItems containsSemiMixedTypes="0" containsNonDate="0" containsDate="1" containsString="0" minDate="2023-09-26T05:18:00" maxDate="2024-08-12T12:13:00"/>
    </cacheField>
    <cacheField name="Column1" numFmtId="0">
      <sharedItems containsNonDate="0" containsString="0" containsBlank="1"/>
    </cacheField>
    <cacheField name="CustomerLocation" numFmtId="0">
      <sharedItems/>
    </cacheField>
    <cacheField name="CustomerAge" numFmtId="0">
      <sharedItems containsSemiMixedTypes="0" containsString="0" containsNumber="1" containsInteger="1" minValue="20" maxValue="69"/>
    </cacheField>
    <cacheField name="CustomerGender" numFmtId="0">
      <sharedItems/>
    </cacheField>
    <cacheField name="CustomerIncomeGroup" numFmtId="0">
      <sharedItems/>
    </cacheField>
    <cacheField name="CustomerLoyaltyScore" numFmtId="0">
      <sharedItems containsSemiMixedTypes="0" containsString="0" containsNumber="1" minValue="9.93" maxValue="97.73"/>
    </cacheField>
    <cacheField name="Quantity" numFmtId="0">
      <sharedItems containsSemiMixedTypes="0" containsString="0" containsNumber="1" containsInteger="1" minValue="1" maxValue="4"/>
    </cacheField>
    <cacheField name="encode" numFmtId="0">
      <sharedItems containsSemiMixedTypes="0" containsString="0" containsNumber="1" containsInteger="1" minValue="0" maxValue="6"/>
    </cacheField>
  </cacheFields>
  <extLst>
    <ext xmlns:x14="http://schemas.microsoft.com/office/spreadsheetml/2009/9/main" uri="{725AE2AE-9491-48be-B2B4-4EB974FC3084}">
      <x14:pivotCacheDefinition pivotCacheId="1180213849"/>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TS" refreshedDate="46179.602415277775" createdVersion="8" refreshedVersion="8" minRefreshableVersion="3" recordCount="30" xr:uid="{7B903A26-2C3A-4CDF-9078-4ED3DB22D528}">
  <cacheSource type="worksheet">
    <worksheetSource name="Table3"/>
  </cacheSource>
  <cacheFields count="16">
    <cacheField name="TransactionID" numFmtId="0">
      <sharedItems containsSemiMixedTypes="0" containsString="0" containsNumber="1" containsInteger="1" minValue="1" maxValue="30"/>
    </cacheField>
    <cacheField name="CustomerID" numFmtId="0">
      <sharedItems containsSemiMixedTypes="0" containsString="0" containsNumber="1" containsInteger="1" minValue="1189" maxValue="9666"/>
    </cacheField>
    <cacheField name="ProductID" numFmtId="0">
      <sharedItems containsSemiMixedTypes="0" containsString="0" containsNumber="1" containsInteger="1" minValue="150" maxValue="948"/>
    </cacheField>
    <cacheField name="ProductCategory" numFmtId="0">
      <sharedItems/>
    </cacheField>
    <cacheField name="PaymentMethod" numFmtId="0">
      <sharedItems/>
    </cacheField>
    <cacheField name="Price" numFmtId="0">
      <sharedItems containsSemiMixedTypes="0" containsString="0" containsNumber="1" minValue="6.58" maxValue="954.41"/>
    </cacheField>
    <cacheField name="Discount" numFmtId="0">
      <sharedItems containsSemiMixedTypes="0" containsString="0" containsNumber="1" minValue="0.01" maxValue="0.28999999999999998"/>
    </cacheField>
    <cacheField name="TransactionDate" numFmtId="22">
      <sharedItems containsSemiMixedTypes="0" containsNonDate="0" containsDate="1" containsString="0" minDate="2023-09-26T05:18:00" maxDate="2024-08-12T12:13:00"/>
    </cacheField>
    <cacheField name="Column1" numFmtId="0">
      <sharedItems containsNonDate="0" containsString="0" containsBlank="1"/>
    </cacheField>
    <cacheField name="CustomerLocation" numFmtId="0">
      <sharedItems/>
    </cacheField>
    <cacheField name="CustomerAge" numFmtId="0">
      <sharedItems containsSemiMixedTypes="0" containsString="0" containsNumber="1" containsInteger="1" minValue="20" maxValue="69"/>
    </cacheField>
    <cacheField name="CustomerGender" numFmtId="0">
      <sharedItems count="3">
        <s v="Female"/>
        <s v="Other"/>
        <s v="Male"/>
      </sharedItems>
    </cacheField>
    <cacheField name="CustomerIncomeGroup" numFmtId="0">
      <sharedItems/>
    </cacheField>
    <cacheField name="CustomerLoyaltyScore" numFmtId="0">
      <sharedItems containsSemiMixedTypes="0" containsString="0" containsNumber="1" minValue="9.93" maxValue="97.73"/>
    </cacheField>
    <cacheField name="Quantity" numFmtId="0">
      <sharedItems containsSemiMixedTypes="0" containsString="0" containsNumber="1" containsInteger="1" minValue="1" maxValue="4"/>
    </cacheField>
    <cacheField name="encode" numFmtId="0">
      <sharedItems containsSemiMixedTypes="0" containsString="0" containsNumber="1" containsInteger="1" minValue="0" maxValue="6"/>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TS" refreshedDate="46179.602654050927" createdVersion="8" refreshedVersion="8" minRefreshableVersion="3" recordCount="30" xr:uid="{B95C9E2E-7E48-4B5F-9D8E-2C4CFDA42E21}">
  <cacheSource type="worksheet">
    <worksheetSource name="Table3"/>
  </cacheSource>
  <cacheFields count="16">
    <cacheField name="TransactionID" numFmtId="0">
      <sharedItems containsSemiMixedTypes="0" containsString="0" containsNumber="1" containsInteger="1" minValue="1" maxValue="30"/>
    </cacheField>
    <cacheField name="CustomerID" numFmtId="0">
      <sharedItems containsSemiMixedTypes="0" containsString="0" containsNumber="1" containsInteger="1" minValue="1189" maxValue="9666"/>
    </cacheField>
    <cacheField name="ProductID" numFmtId="0">
      <sharedItems containsSemiMixedTypes="0" containsString="0" containsNumber="1" containsInteger="1" minValue="150" maxValue="948"/>
    </cacheField>
    <cacheField name="ProductCategory" numFmtId="0">
      <sharedItems/>
    </cacheField>
    <cacheField name="PaymentMethod" numFmtId="0">
      <sharedItems/>
    </cacheField>
    <cacheField name="Price" numFmtId="0">
      <sharedItems containsSemiMixedTypes="0" containsString="0" containsNumber="1" minValue="6.58" maxValue="954.41"/>
    </cacheField>
    <cacheField name="Discount" numFmtId="0">
      <sharedItems containsSemiMixedTypes="0" containsString="0" containsNumber="1" minValue="0.01" maxValue="0.28999999999999998"/>
    </cacheField>
    <cacheField name="TransactionDate" numFmtId="22">
      <sharedItems containsSemiMixedTypes="0" containsNonDate="0" containsDate="1" containsString="0" minDate="2023-09-26T05:18:00" maxDate="2024-08-12T12:13:00" count="30">
        <d v="2023-12-22T10:35:00"/>
        <d v="2024-05-05T10:40:00"/>
        <d v="2023-12-04T05:22:00"/>
        <d v="2024-01-02T11:11:00"/>
        <d v="2024-06-18T01:01:00"/>
        <d v="2024-03-06T06:15:00"/>
        <d v="2023-10-15T13:30:00"/>
        <d v="2024-05-16T01:46:00"/>
        <d v="2024-08-04T17:13:00"/>
        <d v="2023-12-18T18:38:00"/>
        <d v="2024-05-26T02:56:00"/>
        <d v="2023-09-26T05:18:00"/>
        <d v="2023-12-13T23:53:00"/>
        <d v="2023-12-02T07:44:00"/>
        <d v="2024-03-01T17:49:00"/>
        <d v="2024-08-12T12:13:00"/>
        <d v="2024-07-24T08:49:00"/>
        <d v="2024-06-14T18:03:00"/>
        <d v="2024-03-02T05:18:00"/>
        <d v="2024-05-19T13:22:00"/>
        <d v="2024-05-13T10:04:00"/>
        <d v="2024-04-05T20:50:00"/>
        <d v="2023-11-17T05:30:00"/>
        <d v="2024-08-05T14:07:00"/>
        <d v="2024-02-24T01:14:00"/>
        <d v="2024-03-04T09:18:00"/>
        <d v="2023-10-26T07:12:00"/>
        <d v="2024-08-04T12:39:00"/>
        <d v="2024-05-06T01:39:00"/>
        <d v="2023-10-23T11:34:00"/>
      </sharedItems>
    </cacheField>
    <cacheField name="Column1" numFmtId="0">
      <sharedItems containsNonDate="0" containsString="0" containsBlank="1"/>
    </cacheField>
    <cacheField name="CustomerLocation" numFmtId="0">
      <sharedItems/>
    </cacheField>
    <cacheField name="CustomerAge" numFmtId="0">
      <sharedItems containsSemiMixedTypes="0" containsString="0" containsNumber="1" containsInteger="1" minValue="20" maxValue="69"/>
    </cacheField>
    <cacheField name="CustomerGender" numFmtId="0">
      <sharedItems count="3">
        <s v="Female"/>
        <s v="Other"/>
        <s v="Male"/>
      </sharedItems>
    </cacheField>
    <cacheField name="CustomerIncomeGroup" numFmtId="0">
      <sharedItems/>
    </cacheField>
    <cacheField name="CustomerLoyaltyScore" numFmtId="0">
      <sharedItems containsSemiMixedTypes="0" containsString="0" containsNumber="1" minValue="9.93" maxValue="97.73"/>
    </cacheField>
    <cacheField name="Quantity" numFmtId="0">
      <sharedItems containsSemiMixedTypes="0" containsString="0" containsNumber="1" containsInteger="1" minValue="1" maxValue="4"/>
    </cacheField>
    <cacheField name="encode" numFmtId="0">
      <sharedItems containsSemiMixedTypes="0" containsString="0" containsNumber="1" containsInteger="1" minValue="0" maxValue="6"/>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TS" refreshedDate="46179.602957060182" createdVersion="8" refreshedVersion="8" minRefreshableVersion="3" recordCount="30" xr:uid="{CC845F85-66AD-42E7-92A6-5FAE04535D35}">
  <cacheSource type="worksheet">
    <worksheetSource name="Table3"/>
  </cacheSource>
  <cacheFields count="16">
    <cacheField name="TransactionID" numFmtId="0">
      <sharedItems containsSemiMixedTypes="0" containsString="0" containsNumber="1" containsInteger="1" minValue="1" maxValue="30"/>
    </cacheField>
    <cacheField name="CustomerID" numFmtId="0">
      <sharedItems containsSemiMixedTypes="0" containsString="0" containsNumber="1" containsInteger="1" minValue="1189" maxValue="9666"/>
    </cacheField>
    <cacheField name="ProductID" numFmtId="0">
      <sharedItems containsSemiMixedTypes="0" containsString="0" containsNumber="1" containsInteger="1" minValue="150" maxValue="948"/>
    </cacheField>
    <cacheField name="ProductCategory" numFmtId="0">
      <sharedItems count="7">
        <s v="Clothing"/>
        <s v="Beauty"/>
        <s v="Toys"/>
        <s v="Electronics"/>
        <s v="Books"/>
        <s v="Sports"/>
        <s v="Home &amp; Kitchen"/>
      </sharedItems>
    </cacheField>
    <cacheField name="PaymentMethod" numFmtId="0">
      <sharedItems/>
    </cacheField>
    <cacheField name="Price" numFmtId="0">
      <sharedItems containsSemiMixedTypes="0" containsString="0" containsNumber="1" minValue="6.58" maxValue="954.41"/>
    </cacheField>
    <cacheField name="Discount" numFmtId="0">
      <sharedItems containsSemiMixedTypes="0" containsString="0" containsNumber="1" minValue="0.01" maxValue="0.28999999999999998"/>
    </cacheField>
    <cacheField name="TransactionDate" numFmtId="22">
      <sharedItems containsSemiMixedTypes="0" containsNonDate="0" containsDate="1" containsString="0" minDate="2023-09-26T05:18:00" maxDate="2024-08-12T12:13:00" count="30">
        <d v="2023-12-22T10:35:00"/>
        <d v="2024-05-05T10:40:00"/>
        <d v="2023-12-04T05:22:00"/>
        <d v="2024-01-02T11:11:00"/>
        <d v="2024-06-18T01:01:00"/>
        <d v="2024-03-06T06:15:00"/>
        <d v="2023-10-15T13:30:00"/>
        <d v="2024-05-16T01:46:00"/>
        <d v="2024-08-04T17:13:00"/>
        <d v="2023-12-18T18:38:00"/>
        <d v="2024-05-26T02:56:00"/>
        <d v="2023-09-26T05:18:00"/>
        <d v="2023-12-13T23:53:00"/>
        <d v="2023-12-02T07:44:00"/>
        <d v="2024-03-01T17:49:00"/>
        <d v="2024-08-12T12:13:00"/>
        <d v="2024-07-24T08:49:00"/>
        <d v="2024-06-14T18:03:00"/>
        <d v="2024-03-02T05:18:00"/>
        <d v="2024-05-19T13:22:00"/>
        <d v="2024-05-13T10:04:00"/>
        <d v="2024-04-05T20:50:00"/>
        <d v="2023-11-17T05:30:00"/>
        <d v="2024-08-05T14:07:00"/>
        <d v="2024-02-24T01:14:00"/>
        <d v="2024-03-04T09:18:00"/>
        <d v="2023-10-26T07:12:00"/>
        <d v="2024-08-04T12:39:00"/>
        <d v="2024-05-06T01:39:00"/>
        <d v="2023-10-23T11:34:00"/>
      </sharedItems>
    </cacheField>
    <cacheField name="Column1" numFmtId="0">
      <sharedItems containsNonDate="0" containsString="0" containsBlank="1"/>
    </cacheField>
    <cacheField name="CustomerLocation" numFmtId="0">
      <sharedItems/>
    </cacheField>
    <cacheField name="CustomerAge" numFmtId="0">
      <sharedItems containsSemiMixedTypes="0" containsString="0" containsNumber="1" containsInteger="1" minValue="20" maxValue="69"/>
    </cacheField>
    <cacheField name="CustomerGender" numFmtId="0">
      <sharedItems/>
    </cacheField>
    <cacheField name="CustomerIncomeGroup" numFmtId="0">
      <sharedItems/>
    </cacheField>
    <cacheField name="CustomerLoyaltyScore" numFmtId="0">
      <sharedItems containsSemiMixedTypes="0" containsString="0" containsNumber="1" minValue="9.93" maxValue="97.73"/>
    </cacheField>
    <cacheField name="Quantity" numFmtId="0">
      <sharedItems containsSemiMixedTypes="0" containsString="0" containsNumber="1" containsInteger="1" minValue="1" maxValue="4"/>
    </cacheField>
    <cacheField name="encode" numFmtId="0">
      <sharedItems containsSemiMixedTypes="0" containsString="0" containsNumber="1" containsInteger="1" minValue="0" maxValue="6"/>
    </cacheField>
  </cacheFields>
  <extLst>
    <ext xmlns:x14="http://schemas.microsoft.com/office/spreadsheetml/2009/9/main" uri="{725AE2AE-9491-48be-B2B4-4EB974FC3084}">
      <x14:pivotCacheDefinition pivotCacheId="1887314429"/>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TS" refreshedDate="46179.693215046296" createdVersion="8" refreshedVersion="8" minRefreshableVersion="3" recordCount="30" xr:uid="{A927AA94-D67B-4BAA-80CD-10B5A7FEE58E}">
  <cacheSource type="worksheet">
    <worksheetSource name="Table3"/>
  </cacheSource>
  <cacheFields count="16">
    <cacheField name="TransactionID" numFmtId="0">
      <sharedItems containsSemiMixedTypes="0" containsString="0" containsNumber="1" containsInteger="1" minValue="1" maxValue="30"/>
    </cacheField>
    <cacheField name="CustomerID" numFmtId="0">
      <sharedItems containsSemiMixedTypes="0" containsString="0" containsNumber="1" containsInteger="1" minValue="1189" maxValue="9666"/>
    </cacheField>
    <cacheField name="ProductID" numFmtId="0">
      <sharedItems containsSemiMixedTypes="0" containsString="0" containsNumber="1" containsInteger="1" minValue="150" maxValue="948"/>
    </cacheField>
    <cacheField name="ProductCategory" numFmtId="0">
      <sharedItems/>
    </cacheField>
    <cacheField name="PaymentMethod" numFmtId="0">
      <sharedItems count="5">
        <s v="Cash on Delivery"/>
        <s v="Debit Card"/>
        <s v="Bank Transfer"/>
        <s v="Credit Card"/>
        <s v="PayPal"/>
      </sharedItems>
    </cacheField>
    <cacheField name="Price" numFmtId="0">
      <sharedItems containsSemiMixedTypes="0" containsString="0" containsNumber="1" minValue="6.58" maxValue="954.41"/>
    </cacheField>
    <cacheField name="Discount" numFmtId="0">
      <sharedItems containsSemiMixedTypes="0" containsString="0" containsNumber="1" minValue="0.01" maxValue="0.28999999999999998"/>
    </cacheField>
    <cacheField name="TransactionDate" numFmtId="22">
      <sharedItems containsSemiMixedTypes="0" containsNonDate="0" containsDate="1" containsString="0" minDate="2023-09-26T05:18:00" maxDate="2024-08-12T12:13:00"/>
    </cacheField>
    <cacheField name="Column1" numFmtId="0">
      <sharedItems containsNonDate="0" containsString="0" containsBlank="1"/>
    </cacheField>
    <cacheField name="CustomerLocation" numFmtId="0">
      <sharedItems/>
    </cacheField>
    <cacheField name="CustomerAge" numFmtId="0">
      <sharedItems containsSemiMixedTypes="0" containsString="0" containsNumber="1" containsInteger="1" minValue="20" maxValue="69"/>
    </cacheField>
    <cacheField name="CustomerGender" numFmtId="0">
      <sharedItems/>
    </cacheField>
    <cacheField name="CustomerIncomeGroup" numFmtId="0">
      <sharedItems/>
    </cacheField>
    <cacheField name="CustomerLoyaltyScore" numFmtId="0">
      <sharedItems containsSemiMixedTypes="0" containsString="0" containsNumber="1" minValue="9.93" maxValue="97.73"/>
    </cacheField>
    <cacheField name="Quantity" numFmtId="0">
      <sharedItems containsSemiMixedTypes="0" containsString="0" containsNumber="1" containsInteger="1" minValue="1" maxValue="4"/>
    </cacheField>
    <cacheField name="encode" numFmtId="0">
      <sharedItems containsSemiMixedTypes="0" containsString="0" containsNumber="1" containsInteger="1" minValue="0" maxValue="6"/>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
  <r>
    <n v="1"/>
    <n v="8270"/>
    <n v="295"/>
    <x v="0"/>
    <s v="Cash on Delivery"/>
    <n v="801.66"/>
    <n v="0.13"/>
    <d v="2023-12-22T10:35:00"/>
    <m/>
    <s v="New Juan"/>
    <n v="46"/>
    <x v="0"/>
    <s v="Medium"/>
    <n v="83.36"/>
    <n v="1"/>
    <n v="1"/>
  </r>
  <r>
    <n v="2"/>
    <n v="1860"/>
    <n v="546"/>
    <x v="1"/>
    <s v="Debit Card"/>
    <n v="225.03"/>
    <n v="0.06"/>
    <d v="2024-05-05T10:40:00"/>
    <m/>
    <s v="South Julie"/>
    <n v="59"/>
    <x v="1"/>
    <s v="High"/>
    <n v="58.88"/>
    <n v="1"/>
    <n v="2"/>
  </r>
  <r>
    <n v="3"/>
    <n v="6390"/>
    <n v="430"/>
    <x v="2"/>
    <s v="Debit Card"/>
    <n v="544.99"/>
    <n v="0.24"/>
    <d v="2023-12-04T05:22:00"/>
    <m/>
    <s v="West Carrieview"/>
    <n v="61"/>
    <x v="0"/>
    <s v="High"/>
    <n v="53.99"/>
    <n v="2"/>
    <n v="3"/>
  </r>
  <r>
    <n v="4"/>
    <n v="6191"/>
    <n v="807"/>
    <x v="1"/>
    <s v="Bank Transfer"/>
    <n v="157.02000000000001"/>
    <n v="0.01"/>
    <d v="2024-01-02T11:11:00"/>
    <m/>
    <s v="Christianberg"/>
    <n v="69"/>
    <x v="0"/>
    <s v="Low"/>
    <n v="11.73"/>
    <n v="2"/>
    <n v="2"/>
  </r>
  <r>
    <n v="5"/>
    <n v="6734"/>
    <n v="319"/>
    <x v="3"/>
    <s v="Debit Card"/>
    <n v="155.51"/>
    <n v="0.14000000000000001"/>
    <d v="2024-06-18T01:01:00"/>
    <m/>
    <s v="South Williamhaven"/>
    <n v="29"/>
    <x v="1"/>
    <s v="High"/>
    <n v="34.79"/>
    <n v="2"/>
    <n v="4"/>
  </r>
  <r>
    <n v="6"/>
    <n v="7265"/>
    <n v="282"/>
    <x v="4"/>
    <s v="Bank Transfer"/>
    <n v="225.65"/>
    <n v="0.18"/>
    <d v="2024-03-06T06:15:00"/>
    <m/>
    <s v="Stephenfort"/>
    <n v="60"/>
    <x v="2"/>
    <s v="High"/>
    <n v="25.78"/>
    <n v="3"/>
    <n v="6"/>
  </r>
  <r>
    <n v="7"/>
    <n v="1466"/>
    <n v="276"/>
    <x v="1"/>
    <s v="Credit Card"/>
    <n v="631.96"/>
    <n v="0.09"/>
    <d v="2023-10-15T13:30:00"/>
    <m/>
    <s v="North Terristad"/>
    <n v="69"/>
    <x v="2"/>
    <s v="Low"/>
    <n v="68.36"/>
    <n v="3"/>
    <n v="2"/>
  </r>
  <r>
    <n v="8"/>
    <n v="5426"/>
    <n v="574"/>
    <x v="5"/>
    <s v="Cash on Delivery"/>
    <n v="522.87"/>
    <n v="0.28999999999999998"/>
    <d v="2024-05-16T01:46:00"/>
    <m/>
    <s v="Pachecotown"/>
    <n v="45"/>
    <x v="0"/>
    <s v="High"/>
    <n v="19.23"/>
    <n v="1"/>
    <n v="5"/>
  </r>
  <r>
    <n v="9"/>
    <n v="6578"/>
    <n v="948"/>
    <x v="4"/>
    <s v="Cash on Delivery"/>
    <n v="202.66"/>
    <n v="0.12"/>
    <d v="2024-08-04T17:13:00"/>
    <m/>
    <s v="Port Philipberg"/>
    <n v="37"/>
    <x v="2"/>
    <s v="Low"/>
    <n v="28.61"/>
    <n v="4"/>
    <n v="6"/>
  </r>
  <r>
    <n v="10"/>
    <n v="9322"/>
    <n v="459"/>
    <x v="2"/>
    <s v="Cash on Delivery"/>
    <n v="401.52"/>
    <n v="0.23"/>
    <d v="2023-12-18T18:38:00"/>
    <m/>
    <s v="Jenniferfurt"/>
    <n v="67"/>
    <x v="0"/>
    <s v="Low"/>
    <n v="35.18"/>
    <n v="3"/>
    <n v="3"/>
  </r>
  <r>
    <n v="11"/>
    <n v="2685"/>
    <n v="745"/>
    <x v="0"/>
    <s v="Cash on Delivery"/>
    <n v="346.31"/>
    <n v="0.06"/>
    <d v="2024-05-26T02:56:00"/>
    <m/>
    <s v="Lake Carolyn"/>
    <n v="36"/>
    <x v="1"/>
    <s v="Low"/>
    <n v="76.819999999999993"/>
    <n v="3"/>
    <n v="1"/>
  </r>
  <r>
    <n v="12"/>
    <n v="1769"/>
    <n v="564"/>
    <x v="5"/>
    <s v="Bank Transfer"/>
    <n v="434.15"/>
    <n v="0.05"/>
    <d v="2023-09-26T05:18:00"/>
    <m/>
    <s v="Amandaborough"/>
    <n v="61"/>
    <x v="1"/>
    <s v="High"/>
    <n v="26.24"/>
    <n v="1"/>
    <n v="5"/>
  </r>
  <r>
    <n v="13"/>
    <n v="7949"/>
    <n v="334"/>
    <x v="3"/>
    <s v="Credit Card"/>
    <n v="189.87"/>
    <n v="0.25"/>
    <d v="2023-12-13T23:53:00"/>
    <m/>
    <s v="South Maria"/>
    <n v="65"/>
    <x v="1"/>
    <s v="Low"/>
    <n v="39.909999999999997"/>
    <n v="3"/>
    <n v="4"/>
  </r>
  <r>
    <n v="14"/>
    <n v="3433"/>
    <n v="536"/>
    <x v="6"/>
    <s v="Debit Card"/>
    <n v="559.1"/>
    <n v="0.15"/>
    <d v="2023-12-02T07:44:00"/>
    <m/>
    <s v="West Marissa"/>
    <n v="35"/>
    <x v="2"/>
    <s v="Low"/>
    <n v="69.39"/>
    <n v="1"/>
    <n v="0"/>
  </r>
  <r>
    <n v="15"/>
    <n v="6311"/>
    <n v="239"/>
    <x v="2"/>
    <s v="Cash on Delivery"/>
    <n v="29.01"/>
    <n v="0.26"/>
    <d v="2024-03-01T17:49:00"/>
    <m/>
    <s v="Austinburgh"/>
    <n v="20"/>
    <x v="1"/>
    <s v="High"/>
    <n v="10.33"/>
    <n v="3"/>
    <n v="3"/>
  </r>
  <r>
    <n v="16"/>
    <n v="6051"/>
    <n v="587"/>
    <x v="2"/>
    <s v="Bank Transfer"/>
    <n v="541.5"/>
    <n v="0.22"/>
    <d v="2024-08-12T12:13:00"/>
    <m/>
    <s v="Lake Jesse"/>
    <n v="46"/>
    <x v="1"/>
    <s v="Low"/>
    <n v="41.77"/>
    <n v="2"/>
    <n v="3"/>
  </r>
  <r>
    <n v="17"/>
    <n v="7420"/>
    <n v="868"/>
    <x v="1"/>
    <s v="Credit Card"/>
    <n v="218.68"/>
    <n v="0.19"/>
    <d v="2024-07-24T08:49:00"/>
    <m/>
    <s v="Marioburgh"/>
    <n v="21"/>
    <x v="1"/>
    <s v="Medium"/>
    <n v="9.93"/>
    <n v="4"/>
    <n v="2"/>
  </r>
  <r>
    <n v="18"/>
    <n v="2184"/>
    <n v="384"/>
    <x v="0"/>
    <s v="PayPal"/>
    <n v="439.07"/>
    <n v="0.26"/>
    <d v="2024-06-14T18:03:00"/>
    <m/>
    <s v="Ryanhaven"/>
    <n v="23"/>
    <x v="1"/>
    <s v="Medium"/>
    <n v="97.73"/>
    <n v="2"/>
    <n v="1"/>
  </r>
  <r>
    <n v="19"/>
    <n v="5555"/>
    <n v="701"/>
    <x v="4"/>
    <s v="Cash on Delivery"/>
    <n v="849.82"/>
    <n v="0.12"/>
    <d v="2024-03-02T05:18:00"/>
    <m/>
    <s v="Dickersonmouth"/>
    <n v="52"/>
    <x v="0"/>
    <s v="Low"/>
    <n v="54.32"/>
    <n v="4"/>
    <n v="6"/>
  </r>
  <r>
    <n v="20"/>
    <n v="4385"/>
    <n v="427"/>
    <x v="3"/>
    <s v="Debit Card"/>
    <n v="886.69"/>
    <n v="0.28000000000000003"/>
    <d v="2024-05-19T13:22:00"/>
    <m/>
    <s v="Annaborough"/>
    <n v="46"/>
    <x v="1"/>
    <s v="Low"/>
    <n v="57.35"/>
    <n v="1"/>
    <n v="4"/>
  </r>
  <r>
    <n v="21"/>
    <n v="7396"/>
    <n v="150"/>
    <x v="2"/>
    <s v="Credit Card"/>
    <n v="137.79"/>
    <n v="0.04"/>
    <d v="2024-05-13T10:04:00"/>
    <m/>
    <s v="Ramirezburgh"/>
    <n v="60"/>
    <x v="2"/>
    <s v="Medium"/>
    <n v="41.08"/>
    <n v="2"/>
    <n v="3"/>
  </r>
  <r>
    <n v="22"/>
    <n v="9666"/>
    <n v="797"/>
    <x v="3"/>
    <s v="PayPal"/>
    <n v="6.58"/>
    <n v="0.04"/>
    <d v="2024-04-05T20:50:00"/>
    <m/>
    <s v="Sextonberg"/>
    <n v="54"/>
    <x v="0"/>
    <s v="Medium"/>
    <n v="88.02"/>
    <n v="4"/>
    <n v="4"/>
  </r>
  <r>
    <n v="23"/>
    <n v="3558"/>
    <n v="577"/>
    <x v="2"/>
    <s v="Cash on Delivery"/>
    <n v="888.2"/>
    <n v="0.04"/>
    <d v="2023-11-17T05:30:00"/>
    <m/>
    <s v="Beasleyshire"/>
    <n v="29"/>
    <x v="1"/>
    <s v="Medium"/>
    <n v="67.510000000000005"/>
    <n v="3"/>
    <n v="3"/>
  </r>
  <r>
    <n v="24"/>
    <n v="8849"/>
    <n v="385"/>
    <x v="2"/>
    <s v="Debit Card"/>
    <n v="109.35"/>
    <n v="0.15"/>
    <d v="2024-08-05T14:07:00"/>
    <m/>
    <s v="Lake Brittneyland"/>
    <n v="45"/>
    <x v="0"/>
    <s v="High"/>
    <n v="18.760000000000002"/>
    <n v="4"/>
    <n v="3"/>
  </r>
  <r>
    <n v="25"/>
    <n v="3047"/>
    <n v="419"/>
    <x v="3"/>
    <s v="Cash on Delivery"/>
    <n v="144.08000000000001"/>
    <n v="0.28000000000000003"/>
    <d v="2024-02-24T01:14:00"/>
    <m/>
    <s v="South John"/>
    <n v="38"/>
    <x v="2"/>
    <s v="High"/>
    <n v="33.4"/>
    <n v="4"/>
    <n v="4"/>
  </r>
  <r>
    <n v="26"/>
    <n v="3747"/>
    <n v="733"/>
    <x v="5"/>
    <s v="Bank Transfer"/>
    <n v="576.59"/>
    <n v="0.2"/>
    <d v="2024-03-04T09:18:00"/>
    <m/>
    <s v="New Devin"/>
    <n v="52"/>
    <x v="2"/>
    <s v="Low"/>
    <n v="21.91"/>
    <n v="4"/>
    <n v="5"/>
  </r>
  <r>
    <n v="27"/>
    <n v="1189"/>
    <n v="278"/>
    <x v="3"/>
    <s v="PayPal"/>
    <n v="954.41"/>
    <n v="0.11"/>
    <d v="2023-10-26T07:12:00"/>
    <m/>
    <s v="Lake Denise"/>
    <n v="66"/>
    <x v="2"/>
    <s v="Low"/>
    <n v="81.489999999999995"/>
    <n v="3"/>
    <n v="4"/>
  </r>
  <r>
    <n v="28"/>
    <n v="3734"/>
    <n v="231"/>
    <x v="6"/>
    <s v="Credit Card"/>
    <n v="513.82000000000005"/>
    <n v="0.05"/>
    <d v="2024-08-04T12:39:00"/>
    <m/>
    <s v="South Susan"/>
    <n v="34"/>
    <x v="2"/>
    <s v="Low"/>
    <n v="77.27"/>
    <n v="3"/>
    <n v="0"/>
  </r>
  <r>
    <n v="29"/>
    <n v="4005"/>
    <n v="699"/>
    <x v="5"/>
    <s v="Credit Card"/>
    <n v="767.89"/>
    <n v="0.11"/>
    <d v="2024-05-06T01:39:00"/>
    <m/>
    <s v="Johnsonchester"/>
    <n v="52"/>
    <x v="1"/>
    <s v="High"/>
    <n v="26.78"/>
    <n v="1"/>
    <n v="5"/>
  </r>
  <r>
    <n v="30"/>
    <n v="5658"/>
    <n v="829"/>
    <x v="1"/>
    <s v="Cash on Delivery"/>
    <n v="653.79"/>
    <n v="0.01"/>
    <d v="2023-10-23T11:34:00"/>
    <m/>
    <s v="Martinberg"/>
    <n v="68"/>
    <x v="0"/>
    <s v="Low"/>
    <n v="39.340000000000003"/>
    <n v="4"/>
    <n v="2"/>
  </r>
  <r>
    <m/>
    <m/>
    <m/>
    <x v="7"/>
    <m/>
    <m/>
    <m/>
    <m/>
    <m/>
    <m/>
    <m/>
    <x v="3"/>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
  <r>
    <n v="1"/>
    <n v="8270"/>
    <n v="295"/>
    <x v="0"/>
    <x v="0"/>
    <n v="801.66"/>
    <n v="0.13"/>
    <d v="2023-12-22T10:35:00"/>
    <m/>
    <s v="New Juan"/>
    <n v="46"/>
    <x v="0"/>
    <s v="Medium"/>
    <n v="83.36"/>
    <n v="1"/>
    <n v="1"/>
  </r>
  <r>
    <n v="2"/>
    <n v="1860"/>
    <n v="546"/>
    <x v="1"/>
    <x v="1"/>
    <n v="225.03"/>
    <n v="0.06"/>
    <d v="2024-05-05T10:40:00"/>
    <m/>
    <s v="South Julie"/>
    <n v="59"/>
    <x v="1"/>
    <s v="High"/>
    <n v="58.88"/>
    <n v="1"/>
    <n v="2"/>
  </r>
  <r>
    <n v="3"/>
    <n v="6390"/>
    <n v="430"/>
    <x v="2"/>
    <x v="1"/>
    <n v="544.99"/>
    <n v="0.24"/>
    <d v="2023-12-04T05:22:00"/>
    <m/>
    <s v="West Carrieview"/>
    <n v="61"/>
    <x v="0"/>
    <s v="High"/>
    <n v="53.99"/>
    <n v="2"/>
    <n v="3"/>
  </r>
  <r>
    <n v="4"/>
    <n v="6191"/>
    <n v="807"/>
    <x v="1"/>
    <x v="2"/>
    <n v="157.02000000000001"/>
    <n v="0.01"/>
    <d v="2024-01-02T11:11:00"/>
    <m/>
    <s v="Christianberg"/>
    <n v="69"/>
    <x v="0"/>
    <s v="Low"/>
    <n v="11.73"/>
    <n v="2"/>
    <n v="2"/>
  </r>
  <r>
    <n v="5"/>
    <n v="6734"/>
    <n v="319"/>
    <x v="3"/>
    <x v="1"/>
    <n v="155.51"/>
    <n v="0.14000000000000001"/>
    <d v="2024-06-18T01:01:00"/>
    <m/>
    <s v="South Williamhaven"/>
    <n v="29"/>
    <x v="1"/>
    <s v="High"/>
    <n v="34.79"/>
    <n v="2"/>
    <n v="4"/>
  </r>
  <r>
    <n v="6"/>
    <n v="7265"/>
    <n v="282"/>
    <x v="4"/>
    <x v="2"/>
    <n v="225.65"/>
    <n v="0.18"/>
    <d v="2024-03-06T06:15:00"/>
    <m/>
    <s v="Stephenfort"/>
    <n v="60"/>
    <x v="2"/>
    <s v="High"/>
    <n v="25.78"/>
    <n v="3"/>
    <n v="6"/>
  </r>
  <r>
    <n v="7"/>
    <n v="1466"/>
    <n v="276"/>
    <x v="1"/>
    <x v="3"/>
    <n v="631.96"/>
    <n v="0.09"/>
    <d v="2023-10-15T13:30:00"/>
    <m/>
    <s v="North Terristad"/>
    <n v="69"/>
    <x v="2"/>
    <s v="Low"/>
    <n v="68.36"/>
    <n v="3"/>
    <n v="2"/>
  </r>
  <r>
    <n v="8"/>
    <n v="5426"/>
    <n v="574"/>
    <x v="5"/>
    <x v="0"/>
    <n v="522.87"/>
    <n v="0.28999999999999998"/>
    <d v="2024-05-16T01:46:00"/>
    <m/>
    <s v="Pachecotown"/>
    <n v="45"/>
    <x v="0"/>
    <s v="High"/>
    <n v="19.23"/>
    <n v="1"/>
    <n v="5"/>
  </r>
  <r>
    <n v="9"/>
    <n v="6578"/>
    <n v="948"/>
    <x v="4"/>
    <x v="0"/>
    <n v="202.66"/>
    <n v="0.12"/>
    <d v="2024-08-04T17:13:00"/>
    <m/>
    <s v="Port Philipberg"/>
    <n v="37"/>
    <x v="2"/>
    <s v="Low"/>
    <n v="28.61"/>
    <n v="4"/>
    <n v="6"/>
  </r>
  <r>
    <n v="10"/>
    <n v="9322"/>
    <n v="459"/>
    <x v="2"/>
    <x v="0"/>
    <n v="401.52"/>
    <n v="0.23"/>
    <d v="2023-12-18T18:38:00"/>
    <m/>
    <s v="Jenniferfurt"/>
    <n v="67"/>
    <x v="0"/>
    <s v="Low"/>
    <n v="35.18"/>
    <n v="3"/>
    <n v="3"/>
  </r>
  <r>
    <n v="11"/>
    <n v="2685"/>
    <n v="745"/>
    <x v="0"/>
    <x v="0"/>
    <n v="346.31"/>
    <n v="0.06"/>
    <d v="2024-05-26T02:56:00"/>
    <m/>
    <s v="Lake Carolyn"/>
    <n v="36"/>
    <x v="1"/>
    <s v="Low"/>
    <n v="76.819999999999993"/>
    <n v="3"/>
    <n v="1"/>
  </r>
  <r>
    <n v="12"/>
    <n v="1769"/>
    <n v="564"/>
    <x v="5"/>
    <x v="2"/>
    <n v="434.15"/>
    <n v="0.05"/>
    <d v="2023-09-26T05:18:00"/>
    <m/>
    <s v="Amandaborough"/>
    <n v="61"/>
    <x v="1"/>
    <s v="High"/>
    <n v="26.24"/>
    <n v="1"/>
    <n v="5"/>
  </r>
  <r>
    <n v="13"/>
    <n v="7949"/>
    <n v="334"/>
    <x v="3"/>
    <x v="3"/>
    <n v="189.87"/>
    <n v="0.25"/>
    <d v="2023-12-13T23:53:00"/>
    <m/>
    <s v="South Maria"/>
    <n v="65"/>
    <x v="1"/>
    <s v="Low"/>
    <n v="39.909999999999997"/>
    <n v="3"/>
    <n v="4"/>
  </r>
  <r>
    <n v="14"/>
    <n v="3433"/>
    <n v="536"/>
    <x v="6"/>
    <x v="1"/>
    <n v="559.1"/>
    <n v="0.15"/>
    <d v="2023-12-02T07:44:00"/>
    <m/>
    <s v="West Marissa"/>
    <n v="35"/>
    <x v="2"/>
    <s v="Low"/>
    <n v="69.39"/>
    <n v="1"/>
    <n v="0"/>
  </r>
  <r>
    <n v="15"/>
    <n v="6311"/>
    <n v="239"/>
    <x v="2"/>
    <x v="0"/>
    <n v="29.01"/>
    <n v="0.26"/>
    <d v="2024-03-01T17:49:00"/>
    <m/>
    <s v="Austinburgh"/>
    <n v="20"/>
    <x v="1"/>
    <s v="High"/>
    <n v="10.33"/>
    <n v="3"/>
    <n v="3"/>
  </r>
  <r>
    <n v="16"/>
    <n v="6051"/>
    <n v="587"/>
    <x v="2"/>
    <x v="2"/>
    <n v="541.5"/>
    <n v="0.22"/>
    <d v="2024-08-12T12:13:00"/>
    <m/>
    <s v="Lake Jesse"/>
    <n v="46"/>
    <x v="1"/>
    <s v="Low"/>
    <n v="41.77"/>
    <n v="2"/>
    <n v="3"/>
  </r>
  <r>
    <n v="17"/>
    <n v="7420"/>
    <n v="868"/>
    <x v="1"/>
    <x v="3"/>
    <n v="218.68"/>
    <n v="0.19"/>
    <d v="2024-07-24T08:49:00"/>
    <m/>
    <s v="Marioburgh"/>
    <n v="21"/>
    <x v="1"/>
    <s v="Medium"/>
    <n v="9.93"/>
    <n v="4"/>
    <n v="2"/>
  </r>
  <r>
    <n v="18"/>
    <n v="2184"/>
    <n v="384"/>
    <x v="0"/>
    <x v="4"/>
    <n v="439.07"/>
    <n v="0.26"/>
    <d v="2024-06-14T18:03:00"/>
    <m/>
    <s v="Ryanhaven"/>
    <n v="23"/>
    <x v="1"/>
    <s v="Medium"/>
    <n v="97.73"/>
    <n v="2"/>
    <n v="1"/>
  </r>
  <r>
    <n v="19"/>
    <n v="5555"/>
    <n v="701"/>
    <x v="4"/>
    <x v="0"/>
    <n v="849.82"/>
    <n v="0.12"/>
    <d v="2024-03-02T05:18:00"/>
    <m/>
    <s v="Dickersonmouth"/>
    <n v="52"/>
    <x v="0"/>
    <s v="Low"/>
    <n v="54.32"/>
    <n v="4"/>
    <n v="6"/>
  </r>
  <r>
    <n v="20"/>
    <n v="4385"/>
    <n v="427"/>
    <x v="3"/>
    <x v="1"/>
    <n v="886.69"/>
    <n v="0.28000000000000003"/>
    <d v="2024-05-19T13:22:00"/>
    <m/>
    <s v="Annaborough"/>
    <n v="46"/>
    <x v="1"/>
    <s v="Low"/>
    <n v="57.35"/>
    <n v="1"/>
    <n v="4"/>
  </r>
  <r>
    <n v="21"/>
    <n v="7396"/>
    <n v="150"/>
    <x v="2"/>
    <x v="3"/>
    <n v="137.79"/>
    <n v="0.04"/>
    <d v="2024-05-13T10:04:00"/>
    <m/>
    <s v="Ramirezburgh"/>
    <n v="60"/>
    <x v="2"/>
    <s v="Medium"/>
    <n v="41.08"/>
    <n v="2"/>
    <n v="3"/>
  </r>
  <r>
    <n v="22"/>
    <n v="9666"/>
    <n v="797"/>
    <x v="3"/>
    <x v="4"/>
    <n v="6.58"/>
    <n v="0.04"/>
    <d v="2024-04-05T20:50:00"/>
    <m/>
    <s v="Sextonberg"/>
    <n v="54"/>
    <x v="0"/>
    <s v="Medium"/>
    <n v="88.02"/>
    <n v="4"/>
    <n v="4"/>
  </r>
  <r>
    <n v="23"/>
    <n v="3558"/>
    <n v="577"/>
    <x v="2"/>
    <x v="0"/>
    <n v="888.2"/>
    <n v="0.04"/>
    <d v="2023-11-17T05:30:00"/>
    <m/>
    <s v="Beasleyshire"/>
    <n v="29"/>
    <x v="1"/>
    <s v="Medium"/>
    <n v="67.510000000000005"/>
    <n v="3"/>
    <n v="3"/>
  </r>
  <r>
    <n v="24"/>
    <n v="8849"/>
    <n v="385"/>
    <x v="2"/>
    <x v="1"/>
    <n v="109.35"/>
    <n v="0.15"/>
    <d v="2024-08-05T14:07:00"/>
    <m/>
    <s v="Lake Brittneyland"/>
    <n v="45"/>
    <x v="0"/>
    <s v="High"/>
    <n v="18.760000000000002"/>
    <n v="4"/>
    <n v="3"/>
  </r>
  <r>
    <n v="25"/>
    <n v="3047"/>
    <n v="419"/>
    <x v="3"/>
    <x v="0"/>
    <n v="144.08000000000001"/>
    <n v="0.28000000000000003"/>
    <d v="2024-02-24T01:14:00"/>
    <m/>
    <s v="South John"/>
    <n v="38"/>
    <x v="2"/>
    <s v="High"/>
    <n v="33.4"/>
    <n v="4"/>
    <n v="4"/>
  </r>
  <r>
    <n v="26"/>
    <n v="3747"/>
    <n v="733"/>
    <x v="5"/>
    <x v="2"/>
    <n v="576.59"/>
    <n v="0.2"/>
    <d v="2024-03-04T09:18:00"/>
    <m/>
    <s v="New Devin"/>
    <n v="52"/>
    <x v="2"/>
    <s v="Low"/>
    <n v="21.91"/>
    <n v="4"/>
    <n v="5"/>
  </r>
  <r>
    <n v="27"/>
    <n v="1189"/>
    <n v="278"/>
    <x v="3"/>
    <x v="4"/>
    <n v="954.41"/>
    <n v="0.11"/>
    <d v="2023-10-26T07:12:00"/>
    <m/>
    <s v="Lake Denise"/>
    <n v="66"/>
    <x v="2"/>
    <s v="Low"/>
    <n v="81.489999999999995"/>
    <n v="3"/>
    <n v="4"/>
  </r>
  <r>
    <n v="28"/>
    <n v="3734"/>
    <n v="231"/>
    <x v="6"/>
    <x v="3"/>
    <n v="513.82000000000005"/>
    <n v="0.05"/>
    <d v="2024-08-04T12:39:00"/>
    <m/>
    <s v="South Susan"/>
    <n v="34"/>
    <x v="2"/>
    <s v="Low"/>
    <n v="77.27"/>
    <n v="3"/>
    <n v="0"/>
  </r>
  <r>
    <n v="29"/>
    <n v="4005"/>
    <n v="699"/>
    <x v="5"/>
    <x v="3"/>
    <n v="767.89"/>
    <n v="0.11"/>
    <d v="2024-05-06T01:39:00"/>
    <m/>
    <s v="Johnsonchester"/>
    <n v="52"/>
    <x v="1"/>
    <s v="High"/>
    <n v="26.78"/>
    <n v="1"/>
    <n v="5"/>
  </r>
  <r>
    <n v="30"/>
    <n v="5658"/>
    <n v="829"/>
    <x v="1"/>
    <x v="0"/>
    <n v="653.79"/>
    <n v="0.01"/>
    <d v="2023-10-23T11:34:00"/>
    <m/>
    <s v="Martinberg"/>
    <n v="68"/>
    <x v="0"/>
    <s v="Low"/>
    <n v="39.340000000000003"/>
    <n v="4"/>
    <n v="2"/>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
  <r>
    <n v="1"/>
    <n v="8270"/>
    <n v="295"/>
    <s v="Clothing"/>
    <x v="0"/>
    <n v="801.66"/>
    <n v="0.13"/>
    <d v="2023-12-22T10:35:00"/>
    <m/>
    <s v="New Juan"/>
    <n v="46"/>
    <s v="Female"/>
    <s v="Medium"/>
    <n v="83.36"/>
    <n v="1"/>
    <n v="1"/>
  </r>
  <r>
    <n v="2"/>
    <n v="1860"/>
    <n v="546"/>
    <s v="Beauty"/>
    <x v="1"/>
    <n v="225.03"/>
    <n v="0.06"/>
    <d v="2024-05-05T10:40:00"/>
    <m/>
    <s v="South Julie"/>
    <n v="59"/>
    <s v="Other"/>
    <s v="High"/>
    <n v="58.88"/>
    <n v="1"/>
    <n v="2"/>
  </r>
  <r>
    <n v="3"/>
    <n v="6390"/>
    <n v="430"/>
    <s v="Toys"/>
    <x v="1"/>
    <n v="544.99"/>
    <n v="0.24"/>
    <d v="2023-12-04T05:22:00"/>
    <m/>
    <s v="West Carrieview"/>
    <n v="61"/>
    <s v="Female"/>
    <s v="High"/>
    <n v="53.99"/>
    <n v="2"/>
    <n v="3"/>
  </r>
  <r>
    <n v="4"/>
    <n v="6191"/>
    <n v="807"/>
    <s v="Beauty"/>
    <x v="2"/>
    <n v="157.02000000000001"/>
    <n v="0.01"/>
    <d v="2024-01-02T11:11:00"/>
    <m/>
    <s v="Christianberg"/>
    <n v="69"/>
    <s v="Female"/>
    <s v="Low"/>
    <n v="11.73"/>
    <n v="2"/>
    <n v="2"/>
  </r>
  <r>
    <n v="5"/>
    <n v="6734"/>
    <n v="319"/>
    <s v="Electronics"/>
    <x v="1"/>
    <n v="155.51"/>
    <n v="0.14000000000000001"/>
    <d v="2024-06-18T01:01:00"/>
    <m/>
    <s v="South Williamhaven"/>
    <n v="29"/>
    <s v="Other"/>
    <s v="High"/>
    <n v="34.79"/>
    <n v="2"/>
    <n v="4"/>
  </r>
  <r>
    <n v="6"/>
    <n v="7265"/>
    <n v="282"/>
    <s v="Books"/>
    <x v="2"/>
    <n v="225.65"/>
    <n v="0.18"/>
    <d v="2024-03-06T06:15:00"/>
    <m/>
    <s v="Stephenfort"/>
    <n v="60"/>
    <s v="Male"/>
    <s v="High"/>
    <n v="25.78"/>
    <n v="3"/>
    <n v="6"/>
  </r>
  <r>
    <n v="7"/>
    <n v="1466"/>
    <n v="276"/>
    <s v="Beauty"/>
    <x v="3"/>
    <n v="631.96"/>
    <n v="0.09"/>
    <d v="2023-10-15T13:30:00"/>
    <m/>
    <s v="North Terristad"/>
    <n v="69"/>
    <s v="Male"/>
    <s v="Low"/>
    <n v="68.36"/>
    <n v="3"/>
    <n v="2"/>
  </r>
  <r>
    <n v="8"/>
    <n v="5426"/>
    <n v="574"/>
    <s v="Sports"/>
    <x v="0"/>
    <n v="522.87"/>
    <n v="0.28999999999999998"/>
    <d v="2024-05-16T01:46:00"/>
    <m/>
    <s v="Pachecotown"/>
    <n v="45"/>
    <s v="Female"/>
    <s v="High"/>
    <n v="19.23"/>
    <n v="1"/>
    <n v="5"/>
  </r>
  <r>
    <n v="9"/>
    <n v="6578"/>
    <n v="948"/>
    <s v="Books"/>
    <x v="0"/>
    <n v="202.66"/>
    <n v="0.12"/>
    <d v="2024-08-04T17:13:00"/>
    <m/>
    <s v="Port Philipberg"/>
    <n v="37"/>
    <s v="Male"/>
    <s v="Low"/>
    <n v="28.61"/>
    <n v="4"/>
    <n v="6"/>
  </r>
  <r>
    <n v="10"/>
    <n v="9322"/>
    <n v="459"/>
    <s v="Toys"/>
    <x v="0"/>
    <n v="401.52"/>
    <n v="0.23"/>
    <d v="2023-12-18T18:38:00"/>
    <m/>
    <s v="Jenniferfurt"/>
    <n v="67"/>
    <s v="Female"/>
    <s v="Low"/>
    <n v="35.18"/>
    <n v="3"/>
    <n v="3"/>
  </r>
  <r>
    <n v="11"/>
    <n v="2685"/>
    <n v="745"/>
    <s v="Clothing"/>
    <x v="0"/>
    <n v="346.31"/>
    <n v="0.06"/>
    <d v="2024-05-26T02:56:00"/>
    <m/>
    <s v="Lake Carolyn"/>
    <n v="36"/>
    <s v="Other"/>
    <s v="Low"/>
    <n v="76.819999999999993"/>
    <n v="3"/>
    <n v="1"/>
  </r>
  <r>
    <n v="12"/>
    <n v="1769"/>
    <n v="564"/>
    <s v="Sports"/>
    <x v="2"/>
    <n v="434.15"/>
    <n v="0.05"/>
    <d v="2023-09-26T05:18:00"/>
    <m/>
    <s v="Amandaborough"/>
    <n v="61"/>
    <s v="Other"/>
    <s v="High"/>
    <n v="26.24"/>
    <n v="1"/>
    <n v="5"/>
  </r>
  <r>
    <n v="13"/>
    <n v="7949"/>
    <n v="334"/>
    <s v="Electronics"/>
    <x v="3"/>
    <n v="189.87"/>
    <n v="0.25"/>
    <d v="2023-12-13T23:53:00"/>
    <m/>
    <s v="South Maria"/>
    <n v="65"/>
    <s v="Other"/>
    <s v="Low"/>
    <n v="39.909999999999997"/>
    <n v="3"/>
    <n v="4"/>
  </r>
  <r>
    <n v="14"/>
    <n v="3433"/>
    <n v="536"/>
    <s v="Home &amp; Kitchen"/>
    <x v="1"/>
    <n v="559.1"/>
    <n v="0.15"/>
    <d v="2023-12-02T07:44:00"/>
    <m/>
    <s v="West Marissa"/>
    <n v="35"/>
    <s v="Male"/>
    <s v="Low"/>
    <n v="69.39"/>
    <n v="1"/>
    <n v="0"/>
  </r>
  <r>
    <n v="15"/>
    <n v="6311"/>
    <n v="239"/>
    <s v="Toys"/>
    <x v="0"/>
    <n v="29.01"/>
    <n v="0.26"/>
    <d v="2024-03-01T17:49:00"/>
    <m/>
    <s v="Austinburgh"/>
    <n v="20"/>
    <s v="Other"/>
    <s v="High"/>
    <n v="10.33"/>
    <n v="3"/>
    <n v="3"/>
  </r>
  <r>
    <n v="16"/>
    <n v="6051"/>
    <n v="587"/>
    <s v="Toys"/>
    <x v="2"/>
    <n v="541.5"/>
    <n v="0.22"/>
    <d v="2024-08-12T12:13:00"/>
    <m/>
    <s v="Lake Jesse"/>
    <n v="46"/>
    <s v="Other"/>
    <s v="Low"/>
    <n v="41.77"/>
    <n v="2"/>
    <n v="3"/>
  </r>
  <r>
    <n v="17"/>
    <n v="7420"/>
    <n v="868"/>
    <s v="Beauty"/>
    <x v="3"/>
    <n v="218.68"/>
    <n v="0.19"/>
    <d v="2024-07-24T08:49:00"/>
    <m/>
    <s v="Marioburgh"/>
    <n v="21"/>
    <s v="Other"/>
    <s v="Medium"/>
    <n v="9.93"/>
    <n v="4"/>
    <n v="2"/>
  </r>
  <r>
    <n v="18"/>
    <n v="2184"/>
    <n v="384"/>
    <s v="Clothing"/>
    <x v="4"/>
    <n v="439.07"/>
    <n v="0.26"/>
    <d v="2024-06-14T18:03:00"/>
    <m/>
    <s v="Ryanhaven"/>
    <n v="23"/>
    <s v="Other"/>
    <s v="Medium"/>
    <n v="97.73"/>
    <n v="2"/>
    <n v="1"/>
  </r>
  <r>
    <n v="19"/>
    <n v="5555"/>
    <n v="701"/>
    <s v="Books"/>
    <x v="0"/>
    <n v="849.82"/>
    <n v="0.12"/>
    <d v="2024-03-02T05:18:00"/>
    <m/>
    <s v="Dickersonmouth"/>
    <n v="52"/>
    <s v="Female"/>
    <s v="Low"/>
    <n v="54.32"/>
    <n v="4"/>
    <n v="6"/>
  </r>
  <r>
    <n v="20"/>
    <n v="4385"/>
    <n v="427"/>
    <s v="Electronics"/>
    <x v="1"/>
    <n v="886.69"/>
    <n v="0.28000000000000003"/>
    <d v="2024-05-19T13:22:00"/>
    <m/>
    <s v="Annaborough"/>
    <n v="46"/>
    <s v="Other"/>
    <s v="Low"/>
    <n v="57.35"/>
    <n v="1"/>
    <n v="4"/>
  </r>
  <r>
    <n v="21"/>
    <n v="7396"/>
    <n v="150"/>
    <s v="Toys"/>
    <x v="3"/>
    <n v="137.79"/>
    <n v="0.04"/>
    <d v="2024-05-13T10:04:00"/>
    <m/>
    <s v="Ramirezburgh"/>
    <n v="60"/>
    <s v="Male"/>
    <s v="Medium"/>
    <n v="41.08"/>
    <n v="2"/>
    <n v="3"/>
  </r>
  <r>
    <n v="22"/>
    <n v="9666"/>
    <n v="797"/>
    <s v="Electronics"/>
    <x v="4"/>
    <n v="6.58"/>
    <n v="0.04"/>
    <d v="2024-04-05T20:50:00"/>
    <m/>
    <s v="Sextonberg"/>
    <n v="54"/>
    <s v="Female"/>
    <s v="Medium"/>
    <n v="88.02"/>
    <n v="4"/>
    <n v="4"/>
  </r>
  <r>
    <n v="23"/>
    <n v="3558"/>
    <n v="577"/>
    <s v="Toys"/>
    <x v="0"/>
    <n v="888.2"/>
    <n v="0.04"/>
    <d v="2023-11-17T05:30:00"/>
    <m/>
    <s v="Beasleyshire"/>
    <n v="29"/>
    <s v="Other"/>
    <s v="Medium"/>
    <n v="67.510000000000005"/>
    <n v="3"/>
    <n v="3"/>
  </r>
  <r>
    <n v="24"/>
    <n v="8849"/>
    <n v="385"/>
    <s v="Toys"/>
    <x v="1"/>
    <n v="109.35"/>
    <n v="0.15"/>
    <d v="2024-08-05T14:07:00"/>
    <m/>
    <s v="Lake Brittneyland"/>
    <n v="45"/>
    <s v="Female"/>
    <s v="High"/>
    <n v="18.760000000000002"/>
    <n v="4"/>
    <n v="3"/>
  </r>
  <r>
    <n v="25"/>
    <n v="3047"/>
    <n v="419"/>
    <s v="Electronics"/>
    <x v="0"/>
    <n v="144.08000000000001"/>
    <n v="0.28000000000000003"/>
    <d v="2024-02-24T01:14:00"/>
    <m/>
    <s v="South John"/>
    <n v="38"/>
    <s v="Male"/>
    <s v="High"/>
    <n v="33.4"/>
    <n v="4"/>
    <n v="4"/>
  </r>
  <r>
    <n v="26"/>
    <n v="3747"/>
    <n v="733"/>
    <s v="Sports"/>
    <x v="2"/>
    <n v="576.59"/>
    <n v="0.2"/>
    <d v="2024-03-04T09:18:00"/>
    <m/>
    <s v="New Devin"/>
    <n v="52"/>
    <s v="Male"/>
    <s v="Low"/>
    <n v="21.91"/>
    <n v="4"/>
    <n v="5"/>
  </r>
  <r>
    <n v="27"/>
    <n v="1189"/>
    <n v="278"/>
    <s v="Electronics"/>
    <x v="4"/>
    <n v="954.41"/>
    <n v="0.11"/>
    <d v="2023-10-26T07:12:00"/>
    <m/>
    <s v="Lake Denise"/>
    <n v="66"/>
    <s v="Male"/>
    <s v="Low"/>
    <n v="81.489999999999995"/>
    <n v="3"/>
    <n v="4"/>
  </r>
  <r>
    <n v="28"/>
    <n v="3734"/>
    <n v="231"/>
    <s v="Home &amp; Kitchen"/>
    <x v="3"/>
    <n v="513.82000000000005"/>
    <n v="0.05"/>
    <d v="2024-08-04T12:39:00"/>
    <m/>
    <s v="South Susan"/>
    <n v="34"/>
    <s v="Male"/>
    <s v="Low"/>
    <n v="77.27"/>
    <n v="3"/>
    <n v="0"/>
  </r>
  <r>
    <n v="29"/>
    <n v="4005"/>
    <n v="699"/>
    <s v="Sports"/>
    <x v="3"/>
    <n v="767.89"/>
    <n v="0.11"/>
    <d v="2024-05-06T01:39:00"/>
    <m/>
    <s v="Johnsonchester"/>
    <n v="52"/>
    <s v="Other"/>
    <s v="High"/>
    <n v="26.78"/>
    <n v="1"/>
    <n v="5"/>
  </r>
  <r>
    <n v="30"/>
    <n v="5658"/>
    <n v="829"/>
    <s v="Beauty"/>
    <x v="0"/>
    <n v="653.79"/>
    <n v="0.01"/>
    <d v="2023-10-23T11:34:00"/>
    <m/>
    <s v="Martinberg"/>
    <n v="68"/>
    <s v="Female"/>
    <s v="Low"/>
    <n v="39.340000000000003"/>
    <n v="4"/>
    <n v="2"/>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
  <r>
    <n v="1"/>
    <n v="8270"/>
    <n v="295"/>
    <s v="Clothing"/>
    <s v="Cash on Delivery"/>
    <n v="801.66"/>
    <n v="0.13"/>
    <d v="2023-12-22T10:35:00"/>
    <m/>
    <s v="New Juan"/>
    <n v="46"/>
    <x v="0"/>
    <s v="Medium"/>
    <n v="83.36"/>
    <n v="1"/>
    <n v="1"/>
  </r>
  <r>
    <n v="2"/>
    <n v="1860"/>
    <n v="546"/>
    <s v="Beauty"/>
    <s v="Debit Card"/>
    <n v="225.03"/>
    <n v="0.06"/>
    <d v="2024-05-05T10:40:00"/>
    <m/>
    <s v="South Julie"/>
    <n v="59"/>
    <x v="1"/>
    <s v="High"/>
    <n v="58.88"/>
    <n v="1"/>
    <n v="2"/>
  </r>
  <r>
    <n v="3"/>
    <n v="6390"/>
    <n v="430"/>
    <s v="Toys"/>
    <s v="Debit Card"/>
    <n v="544.99"/>
    <n v="0.24"/>
    <d v="2023-12-04T05:22:00"/>
    <m/>
    <s v="West Carrieview"/>
    <n v="61"/>
    <x v="0"/>
    <s v="High"/>
    <n v="53.99"/>
    <n v="2"/>
    <n v="3"/>
  </r>
  <r>
    <n v="4"/>
    <n v="6191"/>
    <n v="807"/>
    <s v="Beauty"/>
    <s v="Bank Transfer"/>
    <n v="157.02000000000001"/>
    <n v="0.01"/>
    <d v="2024-01-02T11:11:00"/>
    <m/>
    <s v="Christianberg"/>
    <n v="69"/>
    <x v="0"/>
    <s v="Low"/>
    <n v="11.73"/>
    <n v="2"/>
    <n v="2"/>
  </r>
  <r>
    <n v="5"/>
    <n v="6734"/>
    <n v="319"/>
    <s v="Electronics"/>
    <s v="Debit Card"/>
    <n v="155.51"/>
    <n v="0.14000000000000001"/>
    <d v="2024-06-18T01:01:00"/>
    <m/>
    <s v="South Williamhaven"/>
    <n v="29"/>
    <x v="1"/>
    <s v="High"/>
    <n v="34.79"/>
    <n v="2"/>
    <n v="4"/>
  </r>
  <r>
    <n v="6"/>
    <n v="7265"/>
    <n v="282"/>
    <s v="Books"/>
    <s v="Bank Transfer"/>
    <n v="225.65"/>
    <n v="0.18"/>
    <d v="2024-03-06T06:15:00"/>
    <m/>
    <s v="Stephenfort"/>
    <n v="60"/>
    <x v="2"/>
    <s v="High"/>
    <n v="25.78"/>
    <n v="3"/>
    <n v="6"/>
  </r>
  <r>
    <n v="7"/>
    <n v="1466"/>
    <n v="276"/>
    <s v="Beauty"/>
    <s v="Credit Card"/>
    <n v="631.96"/>
    <n v="0.09"/>
    <d v="2023-10-15T13:30:00"/>
    <m/>
    <s v="North Terristad"/>
    <n v="69"/>
    <x v="2"/>
    <s v="Low"/>
    <n v="68.36"/>
    <n v="3"/>
    <n v="2"/>
  </r>
  <r>
    <n v="8"/>
    <n v="5426"/>
    <n v="574"/>
    <s v="Sports"/>
    <s v="Cash on Delivery"/>
    <n v="522.87"/>
    <n v="0.28999999999999998"/>
    <d v="2024-05-16T01:46:00"/>
    <m/>
    <s v="Pachecotown"/>
    <n v="45"/>
    <x v="0"/>
    <s v="High"/>
    <n v="19.23"/>
    <n v="1"/>
    <n v="5"/>
  </r>
  <r>
    <n v="9"/>
    <n v="6578"/>
    <n v="948"/>
    <s v="Books"/>
    <s v="Cash on Delivery"/>
    <n v="202.66"/>
    <n v="0.12"/>
    <d v="2024-08-04T17:13:00"/>
    <m/>
    <s v="Port Philipberg"/>
    <n v="37"/>
    <x v="2"/>
    <s v="Low"/>
    <n v="28.61"/>
    <n v="4"/>
    <n v="6"/>
  </r>
  <r>
    <n v="10"/>
    <n v="9322"/>
    <n v="459"/>
    <s v="Toys"/>
    <s v="Cash on Delivery"/>
    <n v="401.52"/>
    <n v="0.23"/>
    <d v="2023-12-18T18:38:00"/>
    <m/>
    <s v="Jenniferfurt"/>
    <n v="67"/>
    <x v="0"/>
    <s v="Low"/>
    <n v="35.18"/>
    <n v="3"/>
    <n v="3"/>
  </r>
  <r>
    <n v="11"/>
    <n v="2685"/>
    <n v="745"/>
    <s v="Clothing"/>
    <s v="Cash on Delivery"/>
    <n v="346.31"/>
    <n v="0.06"/>
    <d v="2024-05-26T02:56:00"/>
    <m/>
    <s v="Lake Carolyn"/>
    <n v="36"/>
    <x v="1"/>
    <s v="Low"/>
    <n v="76.819999999999993"/>
    <n v="3"/>
    <n v="1"/>
  </r>
  <r>
    <n v="12"/>
    <n v="1769"/>
    <n v="564"/>
    <s v="Sports"/>
    <s v="Bank Transfer"/>
    <n v="434.15"/>
    <n v="0.05"/>
    <d v="2023-09-26T05:18:00"/>
    <m/>
    <s v="Amandaborough"/>
    <n v="61"/>
    <x v="1"/>
    <s v="High"/>
    <n v="26.24"/>
    <n v="1"/>
    <n v="5"/>
  </r>
  <r>
    <n v="13"/>
    <n v="7949"/>
    <n v="334"/>
    <s v="Electronics"/>
    <s v="Credit Card"/>
    <n v="189.87"/>
    <n v="0.25"/>
    <d v="2023-12-13T23:53:00"/>
    <m/>
    <s v="South Maria"/>
    <n v="65"/>
    <x v="1"/>
    <s v="Low"/>
    <n v="39.909999999999997"/>
    <n v="3"/>
    <n v="4"/>
  </r>
  <r>
    <n v="14"/>
    <n v="3433"/>
    <n v="536"/>
    <s v="Home &amp; Kitchen"/>
    <s v="Debit Card"/>
    <n v="559.1"/>
    <n v="0.15"/>
    <d v="2023-12-02T07:44:00"/>
    <m/>
    <s v="West Marissa"/>
    <n v="35"/>
    <x v="2"/>
    <s v="Low"/>
    <n v="69.39"/>
    <n v="1"/>
    <n v="0"/>
  </r>
  <r>
    <n v="15"/>
    <n v="6311"/>
    <n v="239"/>
    <s v="Toys"/>
    <s v="Cash on Delivery"/>
    <n v="29.01"/>
    <n v="0.26"/>
    <d v="2024-03-01T17:49:00"/>
    <m/>
    <s v="Austinburgh"/>
    <n v="20"/>
    <x v="1"/>
    <s v="High"/>
    <n v="10.33"/>
    <n v="3"/>
    <n v="3"/>
  </r>
  <r>
    <n v="16"/>
    <n v="6051"/>
    <n v="587"/>
    <s v="Toys"/>
    <s v="Bank Transfer"/>
    <n v="541.5"/>
    <n v="0.22"/>
    <d v="2024-08-12T12:13:00"/>
    <m/>
    <s v="Lake Jesse"/>
    <n v="46"/>
    <x v="1"/>
    <s v="Low"/>
    <n v="41.77"/>
    <n v="2"/>
    <n v="3"/>
  </r>
  <r>
    <n v="17"/>
    <n v="7420"/>
    <n v="868"/>
    <s v="Beauty"/>
    <s v="Credit Card"/>
    <n v="218.68"/>
    <n v="0.19"/>
    <d v="2024-07-24T08:49:00"/>
    <m/>
    <s v="Marioburgh"/>
    <n v="21"/>
    <x v="1"/>
    <s v="Medium"/>
    <n v="9.93"/>
    <n v="4"/>
    <n v="2"/>
  </r>
  <r>
    <n v="18"/>
    <n v="2184"/>
    <n v="384"/>
    <s v="Clothing"/>
    <s v="PayPal"/>
    <n v="439.07"/>
    <n v="0.26"/>
    <d v="2024-06-14T18:03:00"/>
    <m/>
    <s v="Ryanhaven"/>
    <n v="23"/>
    <x v="1"/>
    <s v="Medium"/>
    <n v="97.73"/>
    <n v="2"/>
    <n v="1"/>
  </r>
  <r>
    <n v="19"/>
    <n v="5555"/>
    <n v="701"/>
    <s v="Books"/>
    <s v="Cash on Delivery"/>
    <n v="849.82"/>
    <n v="0.12"/>
    <d v="2024-03-02T05:18:00"/>
    <m/>
    <s v="Dickersonmouth"/>
    <n v="52"/>
    <x v="0"/>
    <s v="Low"/>
    <n v="54.32"/>
    <n v="4"/>
    <n v="6"/>
  </r>
  <r>
    <n v="20"/>
    <n v="4385"/>
    <n v="427"/>
    <s v="Electronics"/>
    <s v="Debit Card"/>
    <n v="886.69"/>
    <n v="0.28000000000000003"/>
    <d v="2024-05-19T13:22:00"/>
    <m/>
    <s v="Annaborough"/>
    <n v="46"/>
    <x v="1"/>
    <s v="Low"/>
    <n v="57.35"/>
    <n v="1"/>
    <n v="4"/>
  </r>
  <r>
    <n v="21"/>
    <n v="7396"/>
    <n v="150"/>
    <s v="Toys"/>
    <s v="Credit Card"/>
    <n v="137.79"/>
    <n v="0.04"/>
    <d v="2024-05-13T10:04:00"/>
    <m/>
    <s v="Ramirezburgh"/>
    <n v="60"/>
    <x v="2"/>
    <s v="Medium"/>
    <n v="41.08"/>
    <n v="2"/>
    <n v="3"/>
  </r>
  <r>
    <n v="22"/>
    <n v="9666"/>
    <n v="797"/>
    <s v="Electronics"/>
    <s v="PayPal"/>
    <n v="6.58"/>
    <n v="0.04"/>
    <d v="2024-04-05T20:50:00"/>
    <m/>
    <s v="Sextonberg"/>
    <n v="54"/>
    <x v="0"/>
    <s v="Medium"/>
    <n v="88.02"/>
    <n v="4"/>
    <n v="4"/>
  </r>
  <r>
    <n v="23"/>
    <n v="3558"/>
    <n v="577"/>
    <s v="Toys"/>
    <s v="Cash on Delivery"/>
    <n v="888.2"/>
    <n v="0.04"/>
    <d v="2023-11-17T05:30:00"/>
    <m/>
    <s v="Beasleyshire"/>
    <n v="29"/>
    <x v="1"/>
    <s v="Medium"/>
    <n v="67.510000000000005"/>
    <n v="3"/>
    <n v="3"/>
  </r>
  <r>
    <n v="24"/>
    <n v="8849"/>
    <n v="385"/>
    <s v="Toys"/>
    <s v="Debit Card"/>
    <n v="109.35"/>
    <n v="0.15"/>
    <d v="2024-08-05T14:07:00"/>
    <m/>
    <s v="Lake Brittneyland"/>
    <n v="45"/>
    <x v="0"/>
    <s v="High"/>
    <n v="18.760000000000002"/>
    <n v="4"/>
    <n v="3"/>
  </r>
  <r>
    <n v="25"/>
    <n v="3047"/>
    <n v="419"/>
    <s v="Electronics"/>
    <s v="Cash on Delivery"/>
    <n v="144.08000000000001"/>
    <n v="0.28000000000000003"/>
    <d v="2024-02-24T01:14:00"/>
    <m/>
    <s v="South John"/>
    <n v="38"/>
    <x v="2"/>
    <s v="High"/>
    <n v="33.4"/>
    <n v="4"/>
    <n v="4"/>
  </r>
  <r>
    <n v="26"/>
    <n v="3747"/>
    <n v="733"/>
    <s v="Sports"/>
    <s v="Bank Transfer"/>
    <n v="576.59"/>
    <n v="0.2"/>
    <d v="2024-03-04T09:18:00"/>
    <m/>
    <s v="New Devin"/>
    <n v="52"/>
    <x v="2"/>
    <s v="Low"/>
    <n v="21.91"/>
    <n v="4"/>
    <n v="5"/>
  </r>
  <r>
    <n v="27"/>
    <n v="1189"/>
    <n v="278"/>
    <s v="Electronics"/>
    <s v="PayPal"/>
    <n v="954.41"/>
    <n v="0.11"/>
    <d v="2023-10-26T07:12:00"/>
    <m/>
    <s v="Lake Denise"/>
    <n v="66"/>
    <x v="2"/>
    <s v="Low"/>
    <n v="81.489999999999995"/>
    <n v="3"/>
    <n v="4"/>
  </r>
  <r>
    <n v="28"/>
    <n v="3734"/>
    <n v="231"/>
    <s v="Home &amp; Kitchen"/>
    <s v="Credit Card"/>
    <n v="513.82000000000005"/>
    <n v="0.05"/>
    <d v="2024-08-04T12:39:00"/>
    <m/>
    <s v="South Susan"/>
    <n v="34"/>
    <x v="2"/>
    <s v="Low"/>
    <n v="77.27"/>
    <n v="3"/>
    <n v="0"/>
  </r>
  <r>
    <n v="29"/>
    <n v="4005"/>
    <n v="699"/>
    <s v="Sports"/>
    <s v="Credit Card"/>
    <n v="767.89"/>
    <n v="0.11"/>
    <d v="2024-05-06T01:39:00"/>
    <m/>
    <s v="Johnsonchester"/>
    <n v="52"/>
    <x v="1"/>
    <s v="High"/>
    <n v="26.78"/>
    <n v="1"/>
    <n v="5"/>
  </r>
  <r>
    <n v="30"/>
    <n v="5658"/>
    <n v="829"/>
    <s v="Beauty"/>
    <s v="Cash on Delivery"/>
    <n v="653.79"/>
    <n v="0.01"/>
    <d v="2023-10-23T11:34:00"/>
    <m/>
    <s v="Martinberg"/>
    <n v="68"/>
    <x v="0"/>
    <s v="Low"/>
    <n v="39.340000000000003"/>
    <n v="4"/>
    <n v="2"/>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
  <r>
    <n v="1"/>
    <n v="8270"/>
    <n v="295"/>
    <s v="Clothing"/>
    <s v="Cash on Delivery"/>
    <n v="801.66"/>
    <n v="0.13"/>
    <x v="0"/>
    <m/>
    <s v="New Juan"/>
    <n v="46"/>
    <x v="0"/>
    <s v="Medium"/>
    <n v="83.36"/>
    <n v="1"/>
    <n v="1"/>
  </r>
  <r>
    <n v="2"/>
    <n v="1860"/>
    <n v="546"/>
    <s v="Beauty"/>
    <s v="Debit Card"/>
    <n v="225.03"/>
    <n v="0.06"/>
    <x v="1"/>
    <m/>
    <s v="South Julie"/>
    <n v="59"/>
    <x v="1"/>
    <s v="High"/>
    <n v="58.88"/>
    <n v="1"/>
    <n v="2"/>
  </r>
  <r>
    <n v="3"/>
    <n v="6390"/>
    <n v="430"/>
    <s v="Toys"/>
    <s v="Debit Card"/>
    <n v="544.99"/>
    <n v="0.24"/>
    <x v="2"/>
    <m/>
    <s v="West Carrieview"/>
    <n v="61"/>
    <x v="0"/>
    <s v="High"/>
    <n v="53.99"/>
    <n v="2"/>
    <n v="3"/>
  </r>
  <r>
    <n v="4"/>
    <n v="6191"/>
    <n v="807"/>
    <s v="Beauty"/>
    <s v="Bank Transfer"/>
    <n v="157.02000000000001"/>
    <n v="0.01"/>
    <x v="3"/>
    <m/>
    <s v="Christianberg"/>
    <n v="69"/>
    <x v="0"/>
    <s v="Low"/>
    <n v="11.73"/>
    <n v="2"/>
    <n v="2"/>
  </r>
  <r>
    <n v="5"/>
    <n v="6734"/>
    <n v="319"/>
    <s v="Electronics"/>
    <s v="Debit Card"/>
    <n v="155.51"/>
    <n v="0.14000000000000001"/>
    <x v="4"/>
    <m/>
    <s v="South Williamhaven"/>
    <n v="29"/>
    <x v="1"/>
    <s v="High"/>
    <n v="34.79"/>
    <n v="2"/>
    <n v="4"/>
  </r>
  <r>
    <n v="6"/>
    <n v="7265"/>
    <n v="282"/>
    <s v="Books"/>
    <s v="Bank Transfer"/>
    <n v="225.65"/>
    <n v="0.18"/>
    <x v="5"/>
    <m/>
    <s v="Stephenfort"/>
    <n v="60"/>
    <x v="2"/>
    <s v="High"/>
    <n v="25.78"/>
    <n v="3"/>
    <n v="6"/>
  </r>
  <r>
    <n v="7"/>
    <n v="1466"/>
    <n v="276"/>
    <s v="Beauty"/>
    <s v="Credit Card"/>
    <n v="631.96"/>
    <n v="0.09"/>
    <x v="6"/>
    <m/>
    <s v="North Terristad"/>
    <n v="69"/>
    <x v="2"/>
    <s v="Low"/>
    <n v="68.36"/>
    <n v="3"/>
    <n v="2"/>
  </r>
  <r>
    <n v="8"/>
    <n v="5426"/>
    <n v="574"/>
    <s v="Sports"/>
    <s v="Cash on Delivery"/>
    <n v="522.87"/>
    <n v="0.28999999999999998"/>
    <x v="7"/>
    <m/>
    <s v="Pachecotown"/>
    <n v="45"/>
    <x v="0"/>
    <s v="High"/>
    <n v="19.23"/>
    <n v="1"/>
    <n v="5"/>
  </r>
  <r>
    <n v="9"/>
    <n v="6578"/>
    <n v="948"/>
    <s v="Books"/>
    <s v="Cash on Delivery"/>
    <n v="202.66"/>
    <n v="0.12"/>
    <x v="8"/>
    <m/>
    <s v="Port Philipberg"/>
    <n v="37"/>
    <x v="2"/>
    <s v="Low"/>
    <n v="28.61"/>
    <n v="4"/>
    <n v="6"/>
  </r>
  <r>
    <n v="10"/>
    <n v="9322"/>
    <n v="459"/>
    <s v="Toys"/>
    <s v="Cash on Delivery"/>
    <n v="401.52"/>
    <n v="0.23"/>
    <x v="9"/>
    <m/>
    <s v="Jenniferfurt"/>
    <n v="67"/>
    <x v="0"/>
    <s v="Low"/>
    <n v="35.18"/>
    <n v="3"/>
    <n v="3"/>
  </r>
  <r>
    <n v="11"/>
    <n v="2685"/>
    <n v="745"/>
    <s v="Clothing"/>
    <s v="Cash on Delivery"/>
    <n v="346.31"/>
    <n v="0.06"/>
    <x v="10"/>
    <m/>
    <s v="Lake Carolyn"/>
    <n v="36"/>
    <x v="1"/>
    <s v="Low"/>
    <n v="76.819999999999993"/>
    <n v="3"/>
    <n v="1"/>
  </r>
  <r>
    <n v="12"/>
    <n v="1769"/>
    <n v="564"/>
    <s v="Sports"/>
    <s v="Bank Transfer"/>
    <n v="434.15"/>
    <n v="0.05"/>
    <x v="11"/>
    <m/>
    <s v="Amandaborough"/>
    <n v="61"/>
    <x v="1"/>
    <s v="High"/>
    <n v="26.24"/>
    <n v="1"/>
    <n v="5"/>
  </r>
  <r>
    <n v="13"/>
    <n v="7949"/>
    <n v="334"/>
    <s v="Electronics"/>
    <s v="Credit Card"/>
    <n v="189.87"/>
    <n v="0.25"/>
    <x v="12"/>
    <m/>
    <s v="South Maria"/>
    <n v="65"/>
    <x v="1"/>
    <s v="Low"/>
    <n v="39.909999999999997"/>
    <n v="3"/>
    <n v="4"/>
  </r>
  <r>
    <n v="14"/>
    <n v="3433"/>
    <n v="536"/>
    <s v="Home &amp; Kitchen"/>
    <s v="Debit Card"/>
    <n v="559.1"/>
    <n v="0.15"/>
    <x v="13"/>
    <m/>
    <s v="West Marissa"/>
    <n v="35"/>
    <x v="2"/>
    <s v="Low"/>
    <n v="69.39"/>
    <n v="1"/>
    <n v="0"/>
  </r>
  <r>
    <n v="15"/>
    <n v="6311"/>
    <n v="239"/>
    <s v="Toys"/>
    <s v="Cash on Delivery"/>
    <n v="29.01"/>
    <n v="0.26"/>
    <x v="14"/>
    <m/>
    <s v="Austinburgh"/>
    <n v="20"/>
    <x v="1"/>
    <s v="High"/>
    <n v="10.33"/>
    <n v="3"/>
    <n v="3"/>
  </r>
  <r>
    <n v="16"/>
    <n v="6051"/>
    <n v="587"/>
    <s v="Toys"/>
    <s v="Bank Transfer"/>
    <n v="541.5"/>
    <n v="0.22"/>
    <x v="15"/>
    <m/>
    <s v="Lake Jesse"/>
    <n v="46"/>
    <x v="1"/>
    <s v="Low"/>
    <n v="41.77"/>
    <n v="2"/>
    <n v="3"/>
  </r>
  <r>
    <n v="17"/>
    <n v="7420"/>
    <n v="868"/>
    <s v="Beauty"/>
    <s v="Credit Card"/>
    <n v="218.68"/>
    <n v="0.19"/>
    <x v="16"/>
    <m/>
    <s v="Marioburgh"/>
    <n v="21"/>
    <x v="1"/>
    <s v="Medium"/>
    <n v="9.93"/>
    <n v="4"/>
    <n v="2"/>
  </r>
  <r>
    <n v="18"/>
    <n v="2184"/>
    <n v="384"/>
    <s v="Clothing"/>
    <s v="PayPal"/>
    <n v="439.07"/>
    <n v="0.26"/>
    <x v="17"/>
    <m/>
    <s v="Ryanhaven"/>
    <n v="23"/>
    <x v="1"/>
    <s v="Medium"/>
    <n v="97.73"/>
    <n v="2"/>
    <n v="1"/>
  </r>
  <r>
    <n v="19"/>
    <n v="5555"/>
    <n v="701"/>
    <s v="Books"/>
    <s v="Cash on Delivery"/>
    <n v="849.82"/>
    <n v="0.12"/>
    <x v="18"/>
    <m/>
    <s v="Dickersonmouth"/>
    <n v="52"/>
    <x v="0"/>
    <s v="Low"/>
    <n v="54.32"/>
    <n v="4"/>
    <n v="6"/>
  </r>
  <r>
    <n v="20"/>
    <n v="4385"/>
    <n v="427"/>
    <s v="Electronics"/>
    <s v="Debit Card"/>
    <n v="886.69"/>
    <n v="0.28000000000000003"/>
    <x v="19"/>
    <m/>
    <s v="Annaborough"/>
    <n v="46"/>
    <x v="1"/>
    <s v="Low"/>
    <n v="57.35"/>
    <n v="1"/>
    <n v="4"/>
  </r>
  <r>
    <n v="21"/>
    <n v="7396"/>
    <n v="150"/>
    <s v="Toys"/>
    <s v="Credit Card"/>
    <n v="137.79"/>
    <n v="0.04"/>
    <x v="20"/>
    <m/>
    <s v="Ramirezburgh"/>
    <n v="60"/>
    <x v="2"/>
    <s v="Medium"/>
    <n v="41.08"/>
    <n v="2"/>
    <n v="3"/>
  </r>
  <r>
    <n v="22"/>
    <n v="9666"/>
    <n v="797"/>
    <s v="Electronics"/>
    <s v="PayPal"/>
    <n v="6.58"/>
    <n v="0.04"/>
    <x v="21"/>
    <m/>
    <s v="Sextonberg"/>
    <n v="54"/>
    <x v="0"/>
    <s v="Medium"/>
    <n v="88.02"/>
    <n v="4"/>
    <n v="4"/>
  </r>
  <r>
    <n v="23"/>
    <n v="3558"/>
    <n v="577"/>
    <s v="Toys"/>
    <s v="Cash on Delivery"/>
    <n v="888.2"/>
    <n v="0.04"/>
    <x v="22"/>
    <m/>
    <s v="Beasleyshire"/>
    <n v="29"/>
    <x v="1"/>
    <s v="Medium"/>
    <n v="67.510000000000005"/>
    <n v="3"/>
    <n v="3"/>
  </r>
  <r>
    <n v="24"/>
    <n v="8849"/>
    <n v="385"/>
    <s v="Toys"/>
    <s v="Debit Card"/>
    <n v="109.35"/>
    <n v="0.15"/>
    <x v="23"/>
    <m/>
    <s v="Lake Brittneyland"/>
    <n v="45"/>
    <x v="0"/>
    <s v="High"/>
    <n v="18.760000000000002"/>
    <n v="4"/>
    <n v="3"/>
  </r>
  <r>
    <n v="25"/>
    <n v="3047"/>
    <n v="419"/>
    <s v="Electronics"/>
    <s v="Cash on Delivery"/>
    <n v="144.08000000000001"/>
    <n v="0.28000000000000003"/>
    <x v="24"/>
    <m/>
    <s v="South John"/>
    <n v="38"/>
    <x v="2"/>
    <s v="High"/>
    <n v="33.4"/>
    <n v="4"/>
    <n v="4"/>
  </r>
  <r>
    <n v="26"/>
    <n v="3747"/>
    <n v="733"/>
    <s v="Sports"/>
    <s v="Bank Transfer"/>
    <n v="576.59"/>
    <n v="0.2"/>
    <x v="25"/>
    <m/>
    <s v="New Devin"/>
    <n v="52"/>
    <x v="2"/>
    <s v="Low"/>
    <n v="21.91"/>
    <n v="4"/>
    <n v="5"/>
  </r>
  <r>
    <n v="27"/>
    <n v="1189"/>
    <n v="278"/>
    <s v="Electronics"/>
    <s v="PayPal"/>
    <n v="954.41"/>
    <n v="0.11"/>
    <x v="26"/>
    <m/>
    <s v="Lake Denise"/>
    <n v="66"/>
    <x v="2"/>
    <s v="Low"/>
    <n v="81.489999999999995"/>
    <n v="3"/>
    <n v="4"/>
  </r>
  <r>
    <n v="28"/>
    <n v="3734"/>
    <n v="231"/>
    <s v="Home &amp; Kitchen"/>
    <s v="Credit Card"/>
    <n v="513.82000000000005"/>
    <n v="0.05"/>
    <x v="27"/>
    <m/>
    <s v="South Susan"/>
    <n v="34"/>
    <x v="2"/>
    <s v="Low"/>
    <n v="77.27"/>
    <n v="3"/>
    <n v="0"/>
  </r>
  <r>
    <n v="29"/>
    <n v="4005"/>
    <n v="699"/>
    <s v="Sports"/>
    <s v="Credit Card"/>
    <n v="767.89"/>
    <n v="0.11"/>
    <x v="28"/>
    <m/>
    <s v="Johnsonchester"/>
    <n v="52"/>
    <x v="1"/>
    <s v="High"/>
    <n v="26.78"/>
    <n v="1"/>
    <n v="5"/>
  </r>
  <r>
    <n v="30"/>
    <n v="5658"/>
    <n v="829"/>
    <s v="Beauty"/>
    <s v="Cash on Delivery"/>
    <n v="653.79"/>
    <n v="0.01"/>
    <x v="29"/>
    <m/>
    <s v="Martinberg"/>
    <n v="68"/>
    <x v="0"/>
    <s v="Low"/>
    <n v="39.340000000000003"/>
    <n v="4"/>
    <n v="2"/>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
  <r>
    <n v="1"/>
    <n v="8270"/>
    <n v="295"/>
    <x v="0"/>
    <s v="Cash on Delivery"/>
    <n v="801.66"/>
    <n v="0.13"/>
    <x v="0"/>
    <m/>
    <s v="New Juan"/>
    <n v="46"/>
    <s v="Female"/>
    <s v="Medium"/>
    <n v="83.36"/>
    <n v="1"/>
    <n v="1"/>
  </r>
  <r>
    <n v="2"/>
    <n v="1860"/>
    <n v="546"/>
    <x v="1"/>
    <s v="Debit Card"/>
    <n v="225.03"/>
    <n v="0.06"/>
    <x v="1"/>
    <m/>
    <s v="South Julie"/>
    <n v="59"/>
    <s v="Other"/>
    <s v="High"/>
    <n v="58.88"/>
    <n v="1"/>
    <n v="2"/>
  </r>
  <r>
    <n v="3"/>
    <n v="6390"/>
    <n v="430"/>
    <x v="2"/>
    <s v="Debit Card"/>
    <n v="544.99"/>
    <n v="0.24"/>
    <x v="2"/>
    <m/>
    <s v="West Carrieview"/>
    <n v="61"/>
    <s v="Female"/>
    <s v="High"/>
    <n v="53.99"/>
    <n v="2"/>
    <n v="3"/>
  </r>
  <r>
    <n v="4"/>
    <n v="6191"/>
    <n v="807"/>
    <x v="1"/>
    <s v="Bank Transfer"/>
    <n v="157.02000000000001"/>
    <n v="0.01"/>
    <x v="3"/>
    <m/>
    <s v="Christianberg"/>
    <n v="69"/>
    <s v="Female"/>
    <s v="Low"/>
    <n v="11.73"/>
    <n v="2"/>
    <n v="2"/>
  </r>
  <r>
    <n v="5"/>
    <n v="6734"/>
    <n v="319"/>
    <x v="3"/>
    <s v="Debit Card"/>
    <n v="155.51"/>
    <n v="0.14000000000000001"/>
    <x v="4"/>
    <m/>
    <s v="South Williamhaven"/>
    <n v="29"/>
    <s v="Other"/>
    <s v="High"/>
    <n v="34.79"/>
    <n v="2"/>
    <n v="4"/>
  </r>
  <r>
    <n v="6"/>
    <n v="7265"/>
    <n v="282"/>
    <x v="4"/>
    <s v="Bank Transfer"/>
    <n v="225.65"/>
    <n v="0.18"/>
    <x v="5"/>
    <m/>
    <s v="Stephenfort"/>
    <n v="60"/>
    <s v="Male"/>
    <s v="High"/>
    <n v="25.78"/>
    <n v="3"/>
    <n v="6"/>
  </r>
  <r>
    <n v="7"/>
    <n v="1466"/>
    <n v="276"/>
    <x v="1"/>
    <s v="Credit Card"/>
    <n v="631.96"/>
    <n v="0.09"/>
    <x v="6"/>
    <m/>
    <s v="North Terristad"/>
    <n v="69"/>
    <s v="Male"/>
    <s v="Low"/>
    <n v="68.36"/>
    <n v="3"/>
    <n v="2"/>
  </r>
  <r>
    <n v="8"/>
    <n v="5426"/>
    <n v="574"/>
    <x v="5"/>
    <s v="Cash on Delivery"/>
    <n v="522.87"/>
    <n v="0.28999999999999998"/>
    <x v="7"/>
    <m/>
    <s v="Pachecotown"/>
    <n v="45"/>
    <s v="Female"/>
    <s v="High"/>
    <n v="19.23"/>
    <n v="1"/>
    <n v="5"/>
  </r>
  <r>
    <n v="9"/>
    <n v="6578"/>
    <n v="948"/>
    <x v="4"/>
    <s v="Cash on Delivery"/>
    <n v="202.66"/>
    <n v="0.12"/>
    <x v="8"/>
    <m/>
    <s v="Port Philipberg"/>
    <n v="37"/>
    <s v="Male"/>
    <s v="Low"/>
    <n v="28.61"/>
    <n v="4"/>
    <n v="6"/>
  </r>
  <r>
    <n v="10"/>
    <n v="9322"/>
    <n v="459"/>
    <x v="2"/>
    <s v="Cash on Delivery"/>
    <n v="401.52"/>
    <n v="0.23"/>
    <x v="9"/>
    <m/>
    <s v="Jenniferfurt"/>
    <n v="67"/>
    <s v="Female"/>
    <s v="Low"/>
    <n v="35.18"/>
    <n v="3"/>
    <n v="3"/>
  </r>
  <r>
    <n v="11"/>
    <n v="2685"/>
    <n v="745"/>
    <x v="0"/>
    <s v="Cash on Delivery"/>
    <n v="346.31"/>
    <n v="0.06"/>
    <x v="10"/>
    <m/>
    <s v="Lake Carolyn"/>
    <n v="36"/>
    <s v="Other"/>
    <s v="Low"/>
    <n v="76.819999999999993"/>
    <n v="3"/>
    <n v="1"/>
  </r>
  <r>
    <n v="12"/>
    <n v="1769"/>
    <n v="564"/>
    <x v="5"/>
    <s v="Bank Transfer"/>
    <n v="434.15"/>
    <n v="0.05"/>
    <x v="11"/>
    <m/>
    <s v="Amandaborough"/>
    <n v="61"/>
    <s v="Other"/>
    <s v="High"/>
    <n v="26.24"/>
    <n v="1"/>
    <n v="5"/>
  </r>
  <r>
    <n v="13"/>
    <n v="7949"/>
    <n v="334"/>
    <x v="3"/>
    <s v="Credit Card"/>
    <n v="189.87"/>
    <n v="0.25"/>
    <x v="12"/>
    <m/>
    <s v="South Maria"/>
    <n v="65"/>
    <s v="Other"/>
    <s v="Low"/>
    <n v="39.909999999999997"/>
    <n v="3"/>
    <n v="4"/>
  </r>
  <r>
    <n v="14"/>
    <n v="3433"/>
    <n v="536"/>
    <x v="6"/>
    <s v="Debit Card"/>
    <n v="559.1"/>
    <n v="0.15"/>
    <x v="13"/>
    <m/>
    <s v="West Marissa"/>
    <n v="35"/>
    <s v="Male"/>
    <s v="Low"/>
    <n v="69.39"/>
    <n v="1"/>
    <n v="0"/>
  </r>
  <r>
    <n v="15"/>
    <n v="6311"/>
    <n v="239"/>
    <x v="2"/>
    <s v="Cash on Delivery"/>
    <n v="29.01"/>
    <n v="0.26"/>
    <x v="14"/>
    <m/>
    <s v="Austinburgh"/>
    <n v="20"/>
    <s v="Other"/>
    <s v="High"/>
    <n v="10.33"/>
    <n v="3"/>
    <n v="3"/>
  </r>
  <r>
    <n v="16"/>
    <n v="6051"/>
    <n v="587"/>
    <x v="2"/>
    <s v="Bank Transfer"/>
    <n v="541.5"/>
    <n v="0.22"/>
    <x v="15"/>
    <m/>
    <s v="Lake Jesse"/>
    <n v="46"/>
    <s v="Other"/>
    <s v="Low"/>
    <n v="41.77"/>
    <n v="2"/>
    <n v="3"/>
  </r>
  <r>
    <n v="17"/>
    <n v="7420"/>
    <n v="868"/>
    <x v="1"/>
    <s v="Credit Card"/>
    <n v="218.68"/>
    <n v="0.19"/>
    <x v="16"/>
    <m/>
    <s v="Marioburgh"/>
    <n v="21"/>
    <s v="Other"/>
    <s v="Medium"/>
    <n v="9.93"/>
    <n v="4"/>
    <n v="2"/>
  </r>
  <r>
    <n v="18"/>
    <n v="2184"/>
    <n v="384"/>
    <x v="0"/>
    <s v="PayPal"/>
    <n v="439.07"/>
    <n v="0.26"/>
    <x v="17"/>
    <m/>
    <s v="Ryanhaven"/>
    <n v="23"/>
    <s v="Other"/>
    <s v="Medium"/>
    <n v="97.73"/>
    <n v="2"/>
    <n v="1"/>
  </r>
  <r>
    <n v="19"/>
    <n v="5555"/>
    <n v="701"/>
    <x v="4"/>
    <s v="Cash on Delivery"/>
    <n v="849.82"/>
    <n v="0.12"/>
    <x v="18"/>
    <m/>
    <s v="Dickersonmouth"/>
    <n v="52"/>
    <s v="Female"/>
    <s v="Low"/>
    <n v="54.32"/>
    <n v="4"/>
    <n v="6"/>
  </r>
  <r>
    <n v="20"/>
    <n v="4385"/>
    <n v="427"/>
    <x v="3"/>
    <s v="Debit Card"/>
    <n v="886.69"/>
    <n v="0.28000000000000003"/>
    <x v="19"/>
    <m/>
    <s v="Annaborough"/>
    <n v="46"/>
    <s v="Other"/>
    <s v="Low"/>
    <n v="57.35"/>
    <n v="1"/>
    <n v="4"/>
  </r>
  <r>
    <n v="21"/>
    <n v="7396"/>
    <n v="150"/>
    <x v="2"/>
    <s v="Credit Card"/>
    <n v="137.79"/>
    <n v="0.04"/>
    <x v="20"/>
    <m/>
    <s v="Ramirezburgh"/>
    <n v="60"/>
    <s v="Male"/>
    <s v="Medium"/>
    <n v="41.08"/>
    <n v="2"/>
    <n v="3"/>
  </r>
  <r>
    <n v="22"/>
    <n v="9666"/>
    <n v="797"/>
    <x v="3"/>
    <s v="PayPal"/>
    <n v="6.58"/>
    <n v="0.04"/>
    <x v="21"/>
    <m/>
    <s v="Sextonberg"/>
    <n v="54"/>
    <s v="Female"/>
    <s v="Medium"/>
    <n v="88.02"/>
    <n v="4"/>
    <n v="4"/>
  </r>
  <r>
    <n v="23"/>
    <n v="3558"/>
    <n v="577"/>
    <x v="2"/>
    <s v="Cash on Delivery"/>
    <n v="888.2"/>
    <n v="0.04"/>
    <x v="22"/>
    <m/>
    <s v="Beasleyshire"/>
    <n v="29"/>
    <s v="Other"/>
    <s v="Medium"/>
    <n v="67.510000000000005"/>
    <n v="3"/>
    <n v="3"/>
  </r>
  <r>
    <n v="24"/>
    <n v="8849"/>
    <n v="385"/>
    <x v="2"/>
    <s v="Debit Card"/>
    <n v="109.35"/>
    <n v="0.15"/>
    <x v="23"/>
    <m/>
    <s v="Lake Brittneyland"/>
    <n v="45"/>
    <s v="Female"/>
    <s v="High"/>
    <n v="18.760000000000002"/>
    <n v="4"/>
    <n v="3"/>
  </r>
  <r>
    <n v="25"/>
    <n v="3047"/>
    <n v="419"/>
    <x v="3"/>
    <s v="Cash on Delivery"/>
    <n v="144.08000000000001"/>
    <n v="0.28000000000000003"/>
    <x v="24"/>
    <m/>
    <s v="South John"/>
    <n v="38"/>
    <s v="Male"/>
    <s v="High"/>
    <n v="33.4"/>
    <n v="4"/>
    <n v="4"/>
  </r>
  <r>
    <n v="26"/>
    <n v="3747"/>
    <n v="733"/>
    <x v="5"/>
    <s v="Bank Transfer"/>
    <n v="576.59"/>
    <n v="0.2"/>
    <x v="25"/>
    <m/>
    <s v="New Devin"/>
    <n v="52"/>
    <s v="Male"/>
    <s v="Low"/>
    <n v="21.91"/>
    <n v="4"/>
    <n v="5"/>
  </r>
  <r>
    <n v="27"/>
    <n v="1189"/>
    <n v="278"/>
    <x v="3"/>
    <s v="PayPal"/>
    <n v="954.41"/>
    <n v="0.11"/>
    <x v="26"/>
    <m/>
    <s v="Lake Denise"/>
    <n v="66"/>
    <s v="Male"/>
    <s v="Low"/>
    <n v="81.489999999999995"/>
    <n v="3"/>
    <n v="4"/>
  </r>
  <r>
    <n v="28"/>
    <n v="3734"/>
    <n v="231"/>
    <x v="6"/>
    <s v="Credit Card"/>
    <n v="513.82000000000005"/>
    <n v="0.05"/>
    <x v="27"/>
    <m/>
    <s v="South Susan"/>
    <n v="34"/>
    <s v="Male"/>
    <s v="Low"/>
    <n v="77.27"/>
    <n v="3"/>
    <n v="0"/>
  </r>
  <r>
    <n v="29"/>
    <n v="4005"/>
    <n v="699"/>
    <x v="5"/>
    <s v="Credit Card"/>
    <n v="767.89"/>
    <n v="0.11"/>
    <x v="28"/>
    <m/>
    <s v="Johnsonchester"/>
    <n v="52"/>
    <s v="Other"/>
    <s v="High"/>
    <n v="26.78"/>
    <n v="1"/>
    <n v="5"/>
  </r>
  <r>
    <n v="30"/>
    <n v="5658"/>
    <n v="829"/>
    <x v="1"/>
    <s v="Cash on Delivery"/>
    <n v="653.79"/>
    <n v="0.01"/>
    <x v="29"/>
    <m/>
    <s v="Martinberg"/>
    <n v="68"/>
    <s v="Female"/>
    <s v="Low"/>
    <n v="39.340000000000003"/>
    <n v="4"/>
    <n v="2"/>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
  <r>
    <n v="1"/>
    <n v="8270"/>
    <n v="295"/>
    <s v="Clothing"/>
    <x v="0"/>
    <n v="801.66"/>
    <n v="0.13"/>
    <d v="2023-12-22T10:35:00"/>
    <m/>
    <s v="New Juan"/>
    <n v="46"/>
    <s v="Female"/>
    <s v="Medium"/>
    <n v="83.36"/>
    <n v="1"/>
    <n v="1"/>
  </r>
  <r>
    <n v="2"/>
    <n v="1860"/>
    <n v="546"/>
    <s v="Beauty"/>
    <x v="1"/>
    <n v="225.03"/>
    <n v="0.06"/>
    <d v="2024-05-05T10:40:00"/>
    <m/>
    <s v="South Julie"/>
    <n v="59"/>
    <s v="Other"/>
    <s v="High"/>
    <n v="58.88"/>
    <n v="1"/>
    <n v="2"/>
  </r>
  <r>
    <n v="3"/>
    <n v="6390"/>
    <n v="430"/>
    <s v="Toys"/>
    <x v="1"/>
    <n v="544.99"/>
    <n v="0.24"/>
    <d v="2023-12-04T05:22:00"/>
    <m/>
    <s v="West Carrieview"/>
    <n v="61"/>
    <s v="Female"/>
    <s v="High"/>
    <n v="53.99"/>
    <n v="2"/>
    <n v="3"/>
  </r>
  <r>
    <n v="4"/>
    <n v="6191"/>
    <n v="807"/>
    <s v="Beauty"/>
    <x v="2"/>
    <n v="157.02000000000001"/>
    <n v="0.01"/>
    <d v="2024-01-02T11:11:00"/>
    <m/>
    <s v="Christianberg"/>
    <n v="69"/>
    <s v="Female"/>
    <s v="Low"/>
    <n v="11.73"/>
    <n v="2"/>
    <n v="2"/>
  </r>
  <r>
    <n v="5"/>
    <n v="6734"/>
    <n v="319"/>
    <s v="Electronics"/>
    <x v="1"/>
    <n v="155.51"/>
    <n v="0.14000000000000001"/>
    <d v="2024-06-18T01:01:00"/>
    <m/>
    <s v="South Williamhaven"/>
    <n v="29"/>
    <s v="Other"/>
    <s v="High"/>
    <n v="34.79"/>
    <n v="2"/>
    <n v="4"/>
  </r>
  <r>
    <n v="6"/>
    <n v="7265"/>
    <n v="282"/>
    <s v="Books"/>
    <x v="2"/>
    <n v="225.65"/>
    <n v="0.18"/>
    <d v="2024-03-06T06:15:00"/>
    <m/>
    <s v="Stephenfort"/>
    <n v="60"/>
    <s v="Male"/>
    <s v="High"/>
    <n v="25.78"/>
    <n v="3"/>
    <n v="6"/>
  </r>
  <r>
    <n v="7"/>
    <n v="1466"/>
    <n v="276"/>
    <s v="Beauty"/>
    <x v="3"/>
    <n v="631.96"/>
    <n v="0.09"/>
    <d v="2023-10-15T13:30:00"/>
    <m/>
    <s v="North Terristad"/>
    <n v="69"/>
    <s v="Male"/>
    <s v="Low"/>
    <n v="68.36"/>
    <n v="3"/>
    <n v="2"/>
  </r>
  <r>
    <n v="8"/>
    <n v="5426"/>
    <n v="574"/>
    <s v="Sports"/>
    <x v="0"/>
    <n v="522.87"/>
    <n v="0.28999999999999998"/>
    <d v="2024-05-16T01:46:00"/>
    <m/>
    <s v="Pachecotown"/>
    <n v="45"/>
    <s v="Female"/>
    <s v="High"/>
    <n v="19.23"/>
    <n v="1"/>
    <n v="5"/>
  </r>
  <r>
    <n v="9"/>
    <n v="6578"/>
    <n v="948"/>
    <s v="Books"/>
    <x v="0"/>
    <n v="202.66"/>
    <n v="0.12"/>
    <d v="2024-08-04T17:13:00"/>
    <m/>
    <s v="Port Philipberg"/>
    <n v="37"/>
    <s v="Male"/>
    <s v="Low"/>
    <n v="28.61"/>
    <n v="4"/>
    <n v="6"/>
  </r>
  <r>
    <n v="10"/>
    <n v="9322"/>
    <n v="459"/>
    <s v="Toys"/>
    <x v="0"/>
    <n v="401.52"/>
    <n v="0.23"/>
    <d v="2023-12-18T18:38:00"/>
    <m/>
    <s v="Jenniferfurt"/>
    <n v="67"/>
    <s v="Female"/>
    <s v="Low"/>
    <n v="35.18"/>
    <n v="3"/>
    <n v="3"/>
  </r>
  <r>
    <n v="11"/>
    <n v="2685"/>
    <n v="745"/>
    <s v="Clothing"/>
    <x v="0"/>
    <n v="346.31"/>
    <n v="0.06"/>
    <d v="2024-05-26T02:56:00"/>
    <m/>
    <s v="Lake Carolyn"/>
    <n v="36"/>
    <s v="Other"/>
    <s v="Low"/>
    <n v="76.819999999999993"/>
    <n v="3"/>
    <n v="1"/>
  </r>
  <r>
    <n v="12"/>
    <n v="1769"/>
    <n v="564"/>
    <s v="Sports"/>
    <x v="2"/>
    <n v="434.15"/>
    <n v="0.05"/>
    <d v="2023-09-26T05:18:00"/>
    <m/>
    <s v="Amandaborough"/>
    <n v="61"/>
    <s v="Other"/>
    <s v="High"/>
    <n v="26.24"/>
    <n v="1"/>
    <n v="5"/>
  </r>
  <r>
    <n v="13"/>
    <n v="7949"/>
    <n v="334"/>
    <s v="Electronics"/>
    <x v="3"/>
    <n v="189.87"/>
    <n v="0.25"/>
    <d v="2023-12-13T23:53:00"/>
    <m/>
    <s v="South Maria"/>
    <n v="65"/>
    <s v="Other"/>
    <s v="Low"/>
    <n v="39.909999999999997"/>
    <n v="3"/>
    <n v="4"/>
  </r>
  <r>
    <n v="14"/>
    <n v="3433"/>
    <n v="536"/>
    <s v="Home &amp; Kitchen"/>
    <x v="1"/>
    <n v="559.1"/>
    <n v="0.15"/>
    <d v="2023-12-02T07:44:00"/>
    <m/>
    <s v="West Marissa"/>
    <n v="35"/>
    <s v="Male"/>
    <s v="Low"/>
    <n v="69.39"/>
    <n v="1"/>
    <n v="0"/>
  </r>
  <r>
    <n v="15"/>
    <n v="6311"/>
    <n v="239"/>
    <s v="Toys"/>
    <x v="0"/>
    <n v="29.01"/>
    <n v="0.26"/>
    <d v="2024-03-01T17:49:00"/>
    <m/>
    <s v="Austinburgh"/>
    <n v="20"/>
    <s v="Other"/>
    <s v="High"/>
    <n v="10.33"/>
    <n v="3"/>
    <n v="3"/>
  </r>
  <r>
    <n v="16"/>
    <n v="6051"/>
    <n v="587"/>
    <s v="Toys"/>
    <x v="2"/>
    <n v="541.5"/>
    <n v="0.22"/>
    <d v="2024-08-12T12:13:00"/>
    <m/>
    <s v="Lake Jesse"/>
    <n v="46"/>
    <s v="Other"/>
    <s v="Low"/>
    <n v="41.77"/>
    <n v="2"/>
    <n v="3"/>
  </r>
  <r>
    <n v="17"/>
    <n v="7420"/>
    <n v="868"/>
    <s v="Beauty"/>
    <x v="3"/>
    <n v="218.68"/>
    <n v="0.19"/>
    <d v="2024-07-24T08:49:00"/>
    <m/>
    <s v="Marioburgh"/>
    <n v="21"/>
    <s v="Other"/>
    <s v="Medium"/>
    <n v="9.93"/>
    <n v="4"/>
    <n v="2"/>
  </r>
  <r>
    <n v="18"/>
    <n v="2184"/>
    <n v="384"/>
    <s v="Clothing"/>
    <x v="4"/>
    <n v="439.07"/>
    <n v="0.26"/>
    <d v="2024-06-14T18:03:00"/>
    <m/>
    <s v="Ryanhaven"/>
    <n v="23"/>
    <s v="Other"/>
    <s v="Medium"/>
    <n v="97.73"/>
    <n v="2"/>
    <n v="1"/>
  </r>
  <r>
    <n v="19"/>
    <n v="5555"/>
    <n v="701"/>
    <s v="Books"/>
    <x v="0"/>
    <n v="849.82"/>
    <n v="0.12"/>
    <d v="2024-03-02T05:18:00"/>
    <m/>
    <s v="Dickersonmouth"/>
    <n v="52"/>
    <s v="Female"/>
    <s v="Low"/>
    <n v="54.32"/>
    <n v="4"/>
    <n v="6"/>
  </r>
  <r>
    <n v="20"/>
    <n v="4385"/>
    <n v="427"/>
    <s v="Electronics"/>
    <x v="1"/>
    <n v="886.69"/>
    <n v="0.28000000000000003"/>
    <d v="2024-05-19T13:22:00"/>
    <m/>
    <s v="Annaborough"/>
    <n v="46"/>
    <s v="Other"/>
    <s v="Low"/>
    <n v="57.35"/>
    <n v="1"/>
    <n v="4"/>
  </r>
  <r>
    <n v="21"/>
    <n v="7396"/>
    <n v="150"/>
    <s v="Toys"/>
    <x v="3"/>
    <n v="137.79"/>
    <n v="0.04"/>
    <d v="2024-05-13T10:04:00"/>
    <m/>
    <s v="Ramirezburgh"/>
    <n v="60"/>
    <s v="Male"/>
    <s v="Medium"/>
    <n v="41.08"/>
    <n v="2"/>
    <n v="3"/>
  </r>
  <r>
    <n v="22"/>
    <n v="9666"/>
    <n v="797"/>
    <s v="Electronics"/>
    <x v="4"/>
    <n v="6.58"/>
    <n v="0.04"/>
    <d v="2024-04-05T20:50:00"/>
    <m/>
    <s v="Sextonberg"/>
    <n v="54"/>
    <s v="Female"/>
    <s v="Medium"/>
    <n v="88.02"/>
    <n v="4"/>
    <n v="4"/>
  </r>
  <r>
    <n v="23"/>
    <n v="3558"/>
    <n v="577"/>
    <s v="Toys"/>
    <x v="0"/>
    <n v="888.2"/>
    <n v="0.04"/>
    <d v="2023-11-17T05:30:00"/>
    <m/>
    <s v="Beasleyshire"/>
    <n v="29"/>
    <s v="Other"/>
    <s v="Medium"/>
    <n v="67.510000000000005"/>
    <n v="3"/>
    <n v="3"/>
  </r>
  <r>
    <n v="24"/>
    <n v="8849"/>
    <n v="385"/>
    <s v="Toys"/>
    <x v="1"/>
    <n v="109.35"/>
    <n v="0.15"/>
    <d v="2024-08-05T14:07:00"/>
    <m/>
    <s v="Lake Brittneyland"/>
    <n v="45"/>
    <s v="Female"/>
    <s v="High"/>
    <n v="18.760000000000002"/>
    <n v="4"/>
    <n v="3"/>
  </r>
  <r>
    <n v="25"/>
    <n v="3047"/>
    <n v="419"/>
    <s v="Electronics"/>
    <x v="0"/>
    <n v="144.08000000000001"/>
    <n v="0.28000000000000003"/>
    <d v="2024-02-24T01:14:00"/>
    <m/>
    <s v="South John"/>
    <n v="38"/>
    <s v="Male"/>
    <s v="High"/>
    <n v="33.4"/>
    <n v="4"/>
    <n v="4"/>
  </r>
  <r>
    <n v="26"/>
    <n v="3747"/>
    <n v="733"/>
    <s v="Sports"/>
    <x v="2"/>
    <n v="576.59"/>
    <n v="0.2"/>
    <d v="2024-03-04T09:18:00"/>
    <m/>
    <s v="New Devin"/>
    <n v="52"/>
    <s v="Male"/>
    <s v="Low"/>
    <n v="21.91"/>
    <n v="4"/>
    <n v="5"/>
  </r>
  <r>
    <n v="27"/>
    <n v="1189"/>
    <n v="278"/>
    <s v="Electronics"/>
    <x v="4"/>
    <n v="954.41"/>
    <n v="0.11"/>
    <d v="2023-10-26T07:12:00"/>
    <m/>
    <s v="Lake Denise"/>
    <n v="66"/>
    <s v="Male"/>
    <s v="Low"/>
    <n v="81.489999999999995"/>
    <n v="3"/>
    <n v="4"/>
  </r>
  <r>
    <n v="28"/>
    <n v="3734"/>
    <n v="231"/>
    <s v="Home &amp; Kitchen"/>
    <x v="3"/>
    <n v="513.82000000000005"/>
    <n v="0.05"/>
    <d v="2024-08-04T12:39:00"/>
    <m/>
    <s v="South Susan"/>
    <n v="34"/>
    <s v="Male"/>
    <s v="Low"/>
    <n v="77.27"/>
    <n v="3"/>
    <n v="0"/>
  </r>
  <r>
    <n v="29"/>
    <n v="4005"/>
    <n v="699"/>
    <s v="Sports"/>
    <x v="3"/>
    <n v="767.89"/>
    <n v="0.11"/>
    <d v="2024-05-06T01:39:00"/>
    <m/>
    <s v="Johnsonchester"/>
    <n v="52"/>
    <s v="Other"/>
    <s v="High"/>
    <n v="26.78"/>
    <n v="1"/>
    <n v="5"/>
  </r>
  <r>
    <n v="30"/>
    <n v="5658"/>
    <n v="829"/>
    <s v="Beauty"/>
    <x v="0"/>
    <n v="653.79"/>
    <n v="0.01"/>
    <d v="2023-10-23T11:34:00"/>
    <m/>
    <s v="Martinberg"/>
    <n v="68"/>
    <s v="Female"/>
    <s v="Low"/>
    <n v="39.340000000000003"/>
    <n v="4"/>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B509B73-CC9B-4701-B22E-DA75D7AF6BEF}" name="PivotTable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7" firstHeaderRow="1" firstDataRow="1" firstDataCol="1"/>
  <pivotFields count="16">
    <pivotField showAll="0"/>
    <pivotField showAll="0"/>
    <pivotField showAll="0"/>
    <pivotField showAll="0"/>
    <pivotField showAll="0"/>
    <pivotField showAll="0"/>
    <pivotField dataField="1" showAll="0"/>
    <pivotField numFmtId="22" showAll="0"/>
    <pivotField showAll="0"/>
    <pivotField showAll="0"/>
    <pivotField showAll="0"/>
    <pivotField axis="axisRow" showAll="0">
      <items count="4">
        <item x="0"/>
        <item x="2"/>
        <item x="1"/>
        <item t="default"/>
      </items>
    </pivotField>
    <pivotField showAll="0"/>
    <pivotField showAll="0"/>
    <pivotField showAll="0"/>
    <pivotField showAll="0"/>
  </pivotFields>
  <rowFields count="1">
    <field x="11"/>
  </rowFields>
  <rowItems count="4">
    <i>
      <x/>
    </i>
    <i>
      <x v="1"/>
    </i>
    <i>
      <x v="2"/>
    </i>
    <i t="grand">
      <x/>
    </i>
  </rowItems>
  <colItems count="1">
    <i/>
  </colItems>
  <dataFields count="1">
    <dataField name="Sum of Discount" fld="6"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6748112-08AA-4B9A-8D60-49A3521A06B5}" name="PivotTable7"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7" firstHeaderRow="1" firstDataRow="1" firstDataCol="1"/>
  <pivotFields count="16">
    <pivotField showAll="0"/>
    <pivotField showAll="0"/>
    <pivotField showAll="0"/>
    <pivotField showAll="0"/>
    <pivotField showAll="0"/>
    <pivotField dataField="1" showAll="0"/>
    <pivotField showAll="0"/>
    <pivotField axis="axisRow" numFmtId="22" showAll="0">
      <items count="31">
        <item x="11"/>
        <item x="6"/>
        <item x="29"/>
        <item x="26"/>
        <item x="22"/>
        <item x="13"/>
        <item x="2"/>
        <item x="12"/>
        <item x="9"/>
        <item x="0"/>
        <item x="3"/>
        <item x="24"/>
        <item x="14"/>
        <item x="18"/>
        <item x="25"/>
        <item x="5"/>
        <item x="21"/>
        <item x="1"/>
        <item x="28"/>
        <item x="20"/>
        <item x="7"/>
        <item x="19"/>
        <item x="10"/>
        <item x="17"/>
        <item x="4"/>
        <item x="16"/>
        <item x="27"/>
        <item x="8"/>
        <item x="23"/>
        <item x="15"/>
        <item t="default"/>
      </items>
    </pivotField>
    <pivotField showAll="0"/>
    <pivotField showAll="0"/>
    <pivotField showAll="0"/>
    <pivotField axis="axisRow" showAll="0">
      <items count="4">
        <item sd="0" x="0"/>
        <item sd="0" x="2"/>
        <item sd="0" x="1"/>
        <item t="default" sd="0"/>
      </items>
    </pivotField>
    <pivotField showAll="0"/>
    <pivotField showAll="0"/>
    <pivotField showAll="0"/>
    <pivotField showAll="0"/>
  </pivotFields>
  <rowFields count="2">
    <field x="11"/>
    <field x="7"/>
  </rowFields>
  <rowItems count="4">
    <i>
      <x/>
    </i>
    <i>
      <x v="1"/>
    </i>
    <i>
      <x v="2"/>
    </i>
    <i t="grand">
      <x/>
    </i>
  </rowItems>
  <colItems count="1">
    <i/>
  </colItems>
  <dataFields count="1">
    <dataField name="Sum of Price" fld="5"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29343C0-8DE1-4759-B0B4-A1C4CEDFECE8}" name="PivotTable9"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D11" firstHeaderRow="0" firstDataRow="1" firstDataCol="1"/>
  <pivotFields count="16">
    <pivotField showAll="0"/>
    <pivotField dataField="1" showAll="0"/>
    <pivotField dataField="1" showAll="0"/>
    <pivotField axis="axisRow" showAll="0">
      <items count="8">
        <item sd="0" x="1"/>
        <item sd="0" x="4"/>
        <item sd="0" x="0"/>
        <item sd="0" x="3"/>
        <item sd="0" x="6"/>
        <item sd="0" x="5"/>
        <item sd="0" x="2"/>
        <item t="default" sd="0"/>
      </items>
    </pivotField>
    <pivotField showAll="0"/>
    <pivotField showAll="0"/>
    <pivotField showAll="0"/>
    <pivotField axis="axisRow" numFmtId="22" showAll="0">
      <items count="31">
        <item x="11"/>
        <item x="6"/>
        <item x="29"/>
        <item x="26"/>
        <item x="22"/>
        <item x="13"/>
        <item x="2"/>
        <item x="12"/>
        <item x="9"/>
        <item x="0"/>
        <item x="3"/>
        <item x="24"/>
        <item x="14"/>
        <item x="18"/>
        <item x="25"/>
        <item x="5"/>
        <item x="21"/>
        <item x="1"/>
        <item x="28"/>
        <item x="20"/>
        <item x="7"/>
        <item x="19"/>
        <item x="10"/>
        <item x="17"/>
        <item x="4"/>
        <item x="16"/>
        <item x="27"/>
        <item x="8"/>
        <item x="23"/>
        <item x="15"/>
        <item t="default"/>
      </items>
    </pivotField>
    <pivotField showAll="0"/>
    <pivotField showAll="0"/>
    <pivotField showAll="0"/>
    <pivotField showAll="0"/>
    <pivotField showAll="0"/>
    <pivotField showAll="0"/>
    <pivotField dataField="1" showAll="0"/>
    <pivotField showAll="0"/>
  </pivotFields>
  <rowFields count="2">
    <field x="3"/>
    <field x="7"/>
  </rowFields>
  <rowItems count="8">
    <i>
      <x/>
    </i>
    <i>
      <x v="1"/>
    </i>
    <i>
      <x v="2"/>
    </i>
    <i>
      <x v="3"/>
    </i>
    <i>
      <x v="4"/>
    </i>
    <i>
      <x v="5"/>
    </i>
    <i>
      <x v="6"/>
    </i>
    <i t="grand">
      <x/>
    </i>
  </rowItems>
  <colFields count="1">
    <field x="-2"/>
  </colFields>
  <colItems count="3">
    <i>
      <x/>
    </i>
    <i i="1">
      <x v="1"/>
    </i>
    <i i="2">
      <x v="2"/>
    </i>
  </colItems>
  <dataFields count="3">
    <dataField name="Sum of CustomerID" fld="1" baseField="0" baseItem="0"/>
    <dataField name="Sum of ProductID" fld="2" baseField="0" baseItem="0"/>
    <dataField name="Sum of Quantity" fld="14" baseField="0" baseItem="0"/>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1166E67-77B1-49EA-82B1-69261D48D83D}" name="PivotTable29" cacheId="41"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8">
  <location ref="A3:B8" firstHeaderRow="1" firstDataRow="1" firstDataCol="1"/>
  <pivotFields count="16">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5">
        <item x="2"/>
        <item x="0"/>
        <item x="3"/>
        <item x="1"/>
        <item x="4"/>
      </items>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22"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1">
    <field x="4"/>
  </rowFields>
  <rowItems count="5">
    <i>
      <x/>
    </i>
    <i>
      <x v="1"/>
    </i>
    <i>
      <x v="2"/>
    </i>
    <i>
      <x v="3"/>
    </i>
    <i>
      <x v="4"/>
    </i>
  </rowItems>
  <colItems count="1">
    <i/>
  </colItems>
  <dataFields count="1">
    <dataField name="Sum of Price" fld="5"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4A8381A-8AAC-4A2A-9B37-60A443AE94E9}"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P52:Q58" firstHeaderRow="1" firstDataRow="1" firstDataCol="1"/>
  <pivotFields count="16">
    <pivotField showAll="0"/>
    <pivotField showAll="0"/>
    <pivotField showAll="0"/>
    <pivotField showAll="0"/>
    <pivotField axis="axisRow" showAll="0">
      <items count="6">
        <item x="2"/>
        <item x="0"/>
        <item x="3"/>
        <item x="1"/>
        <item x="4"/>
        <item t="default"/>
      </items>
    </pivotField>
    <pivotField dataField="1" showAll="0"/>
    <pivotField showAll="0"/>
    <pivotField numFmtId="22" showAll="0"/>
    <pivotField showAll="0"/>
    <pivotField showAll="0"/>
    <pivotField showAll="0"/>
    <pivotField showAll="0"/>
    <pivotField showAll="0"/>
    <pivotField showAll="0"/>
    <pivotField showAll="0"/>
    <pivotField showAll="0"/>
  </pivotFields>
  <rowFields count="1">
    <field x="4"/>
  </rowFields>
  <rowItems count="6">
    <i>
      <x/>
    </i>
    <i>
      <x v="1"/>
    </i>
    <i>
      <x v="2"/>
    </i>
    <i>
      <x v="3"/>
    </i>
    <i>
      <x v="4"/>
    </i>
    <i t="grand">
      <x/>
    </i>
  </rowItems>
  <colItems count="1">
    <i/>
  </colItems>
  <dataFields count="1">
    <dataField name="Sum of Price" fld="5"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822E8DD-36C5-4694-AB97-40263F69140D}"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M43:S48" firstHeaderRow="1" firstDataRow="2" firstDataCol="1"/>
  <pivotFields count="16">
    <pivotField showAll="0"/>
    <pivotField showAll="0"/>
    <pivotField showAll="0"/>
    <pivotField showAll="0">
      <items count="8">
        <item x="1"/>
        <item x="4"/>
        <item x="0"/>
        <item x="3"/>
        <item x="6"/>
        <item x="5"/>
        <item x="2"/>
        <item t="default"/>
      </items>
    </pivotField>
    <pivotField axis="axisCol" showAll="0">
      <items count="6">
        <item x="2"/>
        <item x="0"/>
        <item x="3"/>
        <item x="1"/>
        <item x="4"/>
        <item t="default"/>
      </items>
    </pivotField>
    <pivotField dataField="1" showAll="0"/>
    <pivotField showAll="0"/>
    <pivotField numFmtId="22" showAll="0"/>
    <pivotField showAll="0"/>
    <pivotField showAll="0"/>
    <pivotField showAll="0"/>
    <pivotField axis="axisRow" showAll="0">
      <items count="4">
        <item x="0"/>
        <item x="2"/>
        <item x="1"/>
        <item t="default"/>
      </items>
    </pivotField>
    <pivotField showAll="0"/>
    <pivotField showAll="0"/>
    <pivotField showAll="0"/>
    <pivotField showAll="0"/>
  </pivotFields>
  <rowFields count="1">
    <field x="11"/>
  </rowFields>
  <rowItems count="4">
    <i>
      <x/>
    </i>
    <i>
      <x v="1"/>
    </i>
    <i>
      <x v="2"/>
    </i>
    <i t="grand">
      <x/>
    </i>
  </rowItems>
  <colFields count="1">
    <field x="4"/>
  </colFields>
  <colItems count="6">
    <i>
      <x/>
    </i>
    <i>
      <x v="1"/>
    </i>
    <i>
      <x v="2"/>
    </i>
    <i>
      <x v="3"/>
    </i>
    <i>
      <x v="4"/>
    </i>
    <i t="grand">
      <x/>
    </i>
  </colItems>
  <dataFields count="1">
    <dataField name="Sum of Price" fld="5" baseField="0" baseItem="0"/>
  </dataFields>
  <chartFormats count="13">
    <chartFormat chart="0" format="0" series="1">
      <pivotArea type="data" outline="0" fieldPosition="0">
        <references count="2">
          <reference field="4294967294" count="1" selected="0">
            <x v="0"/>
          </reference>
          <reference field="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 chart="0" format="2" series="1">
      <pivotArea type="data" outline="0" fieldPosition="0">
        <references count="2">
          <reference field="4294967294" count="1" selected="0">
            <x v="0"/>
          </reference>
          <reference field="4" count="1" selected="0">
            <x v="2"/>
          </reference>
        </references>
      </pivotArea>
    </chartFormat>
    <chartFormat chart="0" format="3" series="1">
      <pivotArea type="data" outline="0" fieldPosition="0">
        <references count="2">
          <reference field="4294967294" count="1" selected="0">
            <x v="0"/>
          </reference>
          <reference field="4" count="1" selected="0">
            <x v="3"/>
          </reference>
        </references>
      </pivotArea>
    </chartFormat>
    <chartFormat chart="0" format="4" series="1">
      <pivotArea type="data" outline="0" fieldPosition="0">
        <references count="2">
          <reference field="4294967294" count="1" selected="0">
            <x v="0"/>
          </reference>
          <reference field="4" count="1" selected="0">
            <x v="4"/>
          </reference>
        </references>
      </pivotArea>
    </chartFormat>
    <chartFormat chart="0" format="30" series="1">
      <pivotArea type="data" outline="0" fieldPosition="0">
        <references count="2">
          <reference field="4294967294" count="1" selected="0">
            <x v="0"/>
          </reference>
          <reference field="11" count="1" selected="0">
            <x v="0"/>
          </reference>
        </references>
      </pivotArea>
    </chartFormat>
    <chartFormat chart="0" format="31" series="1">
      <pivotArea type="data" outline="0" fieldPosition="0">
        <references count="2">
          <reference field="4294967294" count="1" selected="0">
            <x v="0"/>
          </reference>
          <reference field="11" count="1" selected="0">
            <x v="1"/>
          </reference>
        </references>
      </pivotArea>
    </chartFormat>
    <chartFormat chart="0" format="32" series="1">
      <pivotArea type="data" outline="0" fieldPosition="0">
        <references count="2">
          <reference field="4294967294" count="1" selected="0">
            <x v="0"/>
          </reference>
          <reference field="11" count="1" selected="0">
            <x v="2"/>
          </reference>
        </references>
      </pivotArea>
    </chartFormat>
    <chartFormat chart="12" format="38" series="1">
      <pivotArea type="data" outline="0" fieldPosition="0">
        <references count="2">
          <reference field="4294967294" count="1" selected="0">
            <x v="0"/>
          </reference>
          <reference field="4" count="1" selected="0">
            <x v="0"/>
          </reference>
        </references>
      </pivotArea>
    </chartFormat>
    <chartFormat chart="12" format="39" series="1">
      <pivotArea type="data" outline="0" fieldPosition="0">
        <references count="2">
          <reference field="4294967294" count="1" selected="0">
            <x v="0"/>
          </reference>
          <reference field="4" count="1" selected="0">
            <x v="1"/>
          </reference>
        </references>
      </pivotArea>
    </chartFormat>
    <chartFormat chart="12" format="40" series="1">
      <pivotArea type="data" outline="0" fieldPosition="0">
        <references count="2">
          <reference field="4294967294" count="1" selected="0">
            <x v="0"/>
          </reference>
          <reference field="4" count="1" selected="0">
            <x v="2"/>
          </reference>
        </references>
      </pivotArea>
    </chartFormat>
    <chartFormat chart="12" format="41" series="1">
      <pivotArea type="data" outline="0" fieldPosition="0">
        <references count="2">
          <reference field="4294967294" count="1" selected="0">
            <x v="0"/>
          </reference>
          <reference field="4" count="1" selected="0">
            <x v="3"/>
          </reference>
        </references>
      </pivotArea>
    </chartFormat>
    <chartFormat chart="12" format="42" series="1">
      <pivotArea type="data" outline="0" fieldPosition="0">
        <references count="2">
          <reference field="4294967294" count="1" selected="0">
            <x v="0"/>
          </reference>
          <reference field="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81A560C-3097-4451-9E75-9663B579331F}" name="PivotTable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0">
  <location ref="B46:J51" firstHeaderRow="1" firstDataRow="2" firstDataCol="1"/>
  <pivotFields count="16">
    <pivotField showAll="0"/>
    <pivotField showAll="0"/>
    <pivotField showAll="0"/>
    <pivotField axis="axisCol" showAll="0">
      <items count="9">
        <item x="1"/>
        <item x="4"/>
        <item x="0"/>
        <item x="3"/>
        <item x="6"/>
        <item x="5"/>
        <item x="2"/>
        <item x="7"/>
        <item t="default"/>
      </items>
    </pivotField>
    <pivotField showAll="0"/>
    <pivotField dataField="1" showAll="0"/>
    <pivotField showAll="0"/>
    <pivotField showAll="0"/>
    <pivotField showAll="0"/>
    <pivotField showAll="0"/>
    <pivotField showAll="0"/>
    <pivotField axis="axisRow" showAll="0">
      <items count="5">
        <item x="0"/>
        <item x="2"/>
        <item x="1"/>
        <item h="1" x="3"/>
        <item t="default"/>
      </items>
    </pivotField>
    <pivotField showAll="0"/>
    <pivotField showAll="0"/>
    <pivotField showAll="0"/>
    <pivotField showAll="0"/>
  </pivotFields>
  <rowFields count="1">
    <field x="11"/>
  </rowFields>
  <rowItems count="4">
    <i>
      <x/>
    </i>
    <i>
      <x v="1"/>
    </i>
    <i>
      <x v="2"/>
    </i>
    <i t="grand">
      <x/>
    </i>
  </rowItems>
  <colFields count="1">
    <field x="3"/>
  </colFields>
  <colItems count="8">
    <i>
      <x/>
    </i>
    <i>
      <x v="1"/>
    </i>
    <i>
      <x v="2"/>
    </i>
    <i>
      <x v="3"/>
    </i>
    <i>
      <x v="4"/>
    </i>
    <i>
      <x v="5"/>
    </i>
    <i>
      <x v="6"/>
    </i>
    <i t="grand">
      <x/>
    </i>
  </colItems>
  <dataFields count="1">
    <dataField name="Sum of Price" fld="5" baseField="0" baseItem="0"/>
  </dataFields>
  <chartFormats count="34">
    <chartFormat chart="0" format="0" series="1">
      <pivotArea type="data" outline="0" fieldPosition="0">
        <references count="2">
          <reference field="4294967294" count="1" selected="0">
            <x v="0"/>
          </reference>
          <reference field="11" count="1" selected="0">
            <x v="0"/>
          </reference>
        </references>
      </pivotArea>
    </chartFormat>
    <chartFormat chart="0" format="1" series="1">
      <pivotArea type="data" outline="0" fieldPosition="0">
        <references count="2">
          <reference field="4294967294" count="1" selected="0">
            <x v="0"/>
          </reference>
          <reference field="11" count="1" selected="0">
            <x v="1"/>
          </reference>
        </references>
      </pivotArea>
    </chartFormat>
    <chartFormat chart="0" format="2" series="1">
      <pivotArea type="data" outline="0" fieldPosition="0">
        <references count="2">
          <reference field="4294967294" count="1" selected="0">
            <x v="0"/>
          </reference>
          <reference field="11" count="1" selected="0">
            <x v="2"/>
          </reference>
        </references>
      </pivotArea>
    </chartFormat>
    <chartFormat chart="0" format="3" series="1">
      <pivotArea type="data" outline="0" fieldPosition="0">
        <references count="2">
          <reference field="4294967294" count="1" selected="0">
            <x v="0"/>
          </reference>
          <reference field="11" count="1" selected="0">
            <x v="3"/>
          </reference>
        </references>
      </pivotArea>
    </chartFormat>
    <chartFormat chart="0" format="4" series="1">
      <pivotArea type="data" outline="0" fieldPosition="0">
        <references count="3">
          <reference field="4294967294" count="1" selected="0">
            <x v="0"/>
          </reference>
          <reference field="3" count="1" selected="0">
            <x v="5"/>
          </reference>
          <reference field="11" count="1" selected="0">
            <x v="0"/>
          </reference>
        </references>
      </pivotArea>
    </chartFormat>
    <chartFormat chart="0" format="5" series="1">
      <pivotArea type="data" outline="0" fieldPosition="0">
        <references count="3">
          <reference field="4294967294" count="1" selected="0">
            <x v="0"/>
          </reference>
          <reference field="3" count="1" selected="0">
            <x v="6"/>
          </reference>
          <reference field="11" count="1" selected="0">
            <x v="0"/>
          </reference>
        </references>
      </pivotArea>
    </chartFormat>
    <chartFormat chart="0" format="6" series="1">
      <pivotArea type="data" outline="0" fieldPosition="0">
        <references count="3">
          <reference field="4294967294" count="1" selected="0">
            <x v="0"/>
          </reference>
          <reference field="3" count="1" selected="0">
            <x v="0"/>
          </reference>
          <reference field="11" count="1" selected="0">
            <x v="1"/>
          </reference>
        </references>
      </pivotArea>
    </chartFormat>
    <chartFormat chart="0" format="7" series="1">
      <pivotArea type="data" outline="0" fieldPosition="0">
        <references count="3">
          <reference field="4294967294" count="1" selected="0">
            <x v="0"/>
          </reference>
          <reference field="3" count="1" selected="0">
            <x v="1"/>
          </reference>
          <reference field="11" count="1" selected="0">
            <x v="1"/>
          </reference>
        </references>
      </pivotArea>
    </chartFormat>
    <chartFormat chart="0" format="8" series="1">
      <pivotArea type="data" outline="0" fieldPosition="0">
        <references count="3">
          <reference field="4294967294" count="1" selected="0">
            <x v="0"/>
          </reference>
          <reference field="3" count="1" selected="0">
            <x v="3"/>
          </reference>
          <reference field="11" count="1" selected="0">
            <x v="1"/>
          </reference>
        </references>
      </pivotArea>
    </chartFormat>
    <chartFormat chart="0" format="9" series="1">
      <pivotArea type="data" outline="0" fieldPosition="0">
        <references count="3">
          <reference field="4294967294" count="1" selected="0">
            <x v="0"/>
          </reference>
          <reference field="3" count="1" selected="0">
            <x v="4"/>
          </reference>
          <reference field="11" count="1" selected="0">
            <x v="1"/>
          </reference>
        </references>
      </pivotArea>
    </chartFormat>
    <chartFormat chart="0" format="10" series="1">
      <pivotArea type="data" outline="0" fieldPosition="0">
        <references count="3">
          <reference field="4294967294" count="1" selected="0">
            <x v="0"/>
          </reference>
          <reference field="3" count="1" selected="0">
            <x v="5"/>
          </reference>
          <reference field="11" count="1" selected="0">
            <x v="1"/>
          </reference>
        </references>
      </pivotArea>
    </chartFormat>
    <chartFormat chart="0" format="11" series="1">
      <pivotArea type="data" outline="0" fieldPosition="0">
        <references count="3">
          <reference field="4294967294" count="1" selected="0">
            <x v="0"/>
          </reference>
          <reference field="3" count="1" selected="0">
            <x v="6"/>
          </reference>
          <reference field="11" count="1" selected="0">
            <x v="1"/>
          </reference>
        </references>
      </pivotArea>
    </chartFormat>
    <chartFormat chart="0" format="12" series="1">
      <pivotArea type="data" outline="0" fieldPosition="0">
        <references count="3">
          <reference field="4294967294" count="1" selected="0">
            <x v="0"/>
          </reference>
          <reference field="3" count="1" selected="0">
            <x v="0"/>
          </reference>
          <reference field="11" count="1" selected="0">
            <x v="2"/>
          </reference>
        </references>
      </pivotArea>
    </chartFormat>
    <chartFormat chart="0" format="13" series="1">
      <pivotArea type="data" outline="0" fieldPosition="0">
        <references count="3">
          <reference field="4294967294" count="1" selected="0">
            <x v="0"/>
          </reference>
          <reference field="3" count="1" selected="0">
            <x v="2"/>
          </reference>
          <reference field="11" count="1" selected="0">
            <x v="2"/>
          </reference>
        </references>
      </pivotArea>
    </chartFormat>
    <chartFormat chart="0" format="14" series="1">
      <pivotArea type="data" outline="0" fieldPosition="0">
        <references count="3">
          <reference field="4294967294" count="1" selected="0">
            <x v="0"/>
          </reference>
          <reference field="3" count="1" selected="0">
            <x v="3"/>
          </reference>
          <reference field="11" count="1" selected="0">
            <x v="2"/>
          </reference>
        </references>
      </pivotArea>
    </chartFormat>
    <chartFormat chart="0" format="15" series="1">
      <pivotArea type="data" outline="0" fieldPosition="0">
        <references count="3">
          <reference field="4294967294" count="1" selected="0">
            <x v="0"/>
          </reference>
          <reference field="3" count="1" selected="0">
            <x v="5"/>
          </reference>
          <reference field="11" count="1" selected="0">
            <x v="2"/>
          </reference>
        </references>
      </pivotArea>
    </chartFormat>
    <chartFormat chart="0" format="16" series="1">
      <pivotArea type="data" outline="0" fieldPosition="0">
        <references count="3">
          <reference field="4294967294" count="1" selected="0">
            <x v="0"/>
          </reference>
          <reference field="3" count="1" selected="0">
            <x v="6"/>
          </reference>
          <reference field="11" count="1" selected="0">
            <x v="2"/>
          </reference>
        </references>
      </pivotArea>
    </chartFormat>
    <chartFormat chart="0" format="17" series="1">
      <pivotArea type="data" outline="0" fieldPosition="0">
        <references count="3">
          <reference field="4294967294" count="1" selected="0">
            <x v="0"/>
          </reference>
          <reference field="3" count="1" selected="0">
            <x v="7"/>
          </reference>
          <reference field="11" count="1" selected="0">
            <x v="3"/>
          </reference>
        </references>
      </pivotArea>
    </chartFormat>
    <chartFormat chart="0" format="18" series="1">
      <pivotArea type="data" outline="0" fieldPosition="0">
        <references count="1">
          <reference field="4294967294" count="1" selected="0">
            <x v="0"/>
          </reference>
        </references>
      </pivotArea>
    </chartFormat>
    <chartFormat chart="0" format="19" series="1">
      <pivotArea type="data" outline="0" fieldPosition="0">
        <references count="2">
          <reference field="4294967294" count="1" selected="0">
            <x v="0"/>
          </reference>
          <reference field="3" count="1" selected="0">
            <x v="1"/>
          </reference>
        </references>
      </pivotArea>
    </chartFormat>
    <chartFormat chart="0" format="20" series="1">
      <pivotArea type="data" outline="0" fieldPosition="0">
        <references count="2">
          <reference field="4294967294" count="1" selected="0">
            <x v="0"/>
          </reference>
          <reference field="3" count="1" selected="0">
            <x v="2"/>
          </reference>
        </references>
      </pivotArea>
    </chartFormat>
    <chartFormat chart="0" format="21" series="1">
      <pivotArea type="data" outline="0" fieldPosition="0">
        <references count="2">
          <reference field="4294967294" count="1" selected="0">
            <x v="0"/>
          </reference>
          <reference field="3" count="1" selected="0">
            <x v="3"/>
          </reference>
        </references>
      </pivotArea>
    </chartFormat>
    <chartFormat chart="0" format="22" series="1">
      <pivotArea type="data" outline="0" fieldPosition="0">
        <references count="2">
          <reference field="4294967294" count="1" selected="0">
            <x v="0"/>
          </reference>
          <reference field="3" count="1" selected="0">
            <x v="4"/>
          </reference>
        </references>
      </pivotArea>
    </chartFormat>
    <chartFormat chart="0" format="23" series="1">
      <pivotArea type="data" outline="0" fieldPosition="0">
        <references count="2">
          <reference field="4294967294" count="1" selected="0">
            <x v="0"/>
          </reference>
          <reference field="3" count="1" selected="0">
            <x v="5"/>
          </reference>
        </references>
      </pivotArea>
    </chartFormat>
    <chartFormat chart="0" format="24" series="1">
      <pivotArea type="data" outline="0" fieldPosition="0">
        <references count="2">
          <reference field="4294967294" count="1" selected="0">
            <x v="0"/>
          </reference>
          <reference field="3" count="1" selected="0">
            <x v="6"/>
          </reference>
        </references>
      </pivotArea>
    </chartFormat>
    <chartFormat chart="0" format="25" series="1">
      <pivotArea type="data" outline="0" fieldPosition="0">
        <references count="2">
          <reference field="4294967294" count="1" selected="0">
            <x v="0"/>
          </reference>
          <reference field="3" count="1" selected="0">
            <x v="7"/>
          </reference>
        </references>
      </pivotArea>
    </chartFormat>
    <chartFormat chart="0" format="26" series="1">
      <pivotArea type="data" outline="0" fieldPosition="0">
        <references count="2">
          <reference field="4294967294" count="1" selected="0">
            <x v="0"/>
          </reference>
          <reference field="3" count="1" selected="0">
            <x v="0"/>
          </reference>
        </references>
      </pivotArea>
    </chartFormat>
    <chartFormat chart="7" format="34" series="1">
      <pivotArea type="data" outline="0" fieldPosition="0">
        <references count="2">
          <reference field="4294967294" count="1" selected="0">
            <x v="0"/>
          </reference>
          <reference field="3" count="1" selected="0">
            <x v="0"/>
          </reference>
        </references>
      </pivotArea>
    </chartFormat>
    <chartFormat chart="7" format="35" series="1">
      <pivotArea type="data" outline="0" fieldPosition="0">
        <references count="2">
          <reference field="4294967294" count="1" selected="0">
            <x v="0"/>
          </reference>
          <reference field="3" count="1" selected="0">
            <x v="1"/>
          </reference>
        </references>
      </pivotArea>
    </chartFormat>
    <chartFormat chart="7" format="36" series="1">
      <pivotArea type="data" outline="0" fieldPosition="0">
        <references count="2">
          <reference field="4294967294" count="1" selected="0">
            <x v="0"/>
          </reference>
          <reference field="3" count="1" selected="0">
            <x v="2"/>
          </reference>
        </references>
      </pivotArea>
    </chartFormat>
    <chartFormat chart="7" format="37" series="1">
      <pivotArea type="data" outline="0" fieldPosition="0">
        <references count="2">
          <reference field="4294967294" count="1" selected="0">
            <x v="0"/>
          </reference>
          <reference field="3" count="1" selected="0">
            <x v="3"/>
          </reference>
        </references>
      </pivotArea>
    </chartFormat>
    <chartFormat chart="7" format="38" series="1">
      <pivotArea type="data" outline="0" fieldPosition="0">
        <references count="2">
          <reference field="4294967294" count="1" selected="0">
            <x v="0"/>
          </reference>
          <reference field="3" count="1" selected="0">
            <x v="4"/>
          </reference>
        </references>
      </pivotArea>
    </chartFormat>
    <chartFormat chart="7" format="39" series="1">
      <pivotArea type="data" outline="0" fieldPosition="0">
        <references count="2">
          <reference field="4294967294" count="1" selected="0">
            <x v="0"/>
          </reference>
          <reference field="3" count="1" selected="0">
            <x v="5"/>
          </reference>
        </references>
      </pivotArea>
    </chartFormat>
    <chartFormat chart="7" format="40" series="1">
      <pivotArea type="data" outline="0" fieldPosition="0">
        <references count="2">
          <reference field="4294967294" count="1" selected="0">
            <x v="0"/>
          </reference>
          <reference field="3"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Gender" xr10:uid="{8AA56584-7A8E-45A8-854C-A00356257DE6}" sourceName="CustomerGender">
  <pivotTables>
    <pivotTable tabId="1" name="PivotTable4"/>
  </pivotTables>
  <data>
    <tabular pivotCacheId="1192926861">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Category" xr10:uid="{EF5CE968-7B03-4C6C-BFE6-7E496303D7EB}" sourceName="ProductCategory">
  <pivotTables>
    <pivotTable tabId="1" name="PivotTable3"/>
  </pivotTables>
  <data>
    <tabular pivotCacheId="810114764">
      <items count="8">
        <i x="1" s="1"/>
        <i x="4" s="1"/>
        <i x="0" s="1"/>
        <i x="3" s="1"/>
        <i x="6" s="1"/>
        <i x="5" s="1"/>
        <i x="2" s="1"/>
        <i x="7"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Method" xr10:uid="{7717F6D6-3E37-49B6-9983-1962A804B494}" sourceName="PaymentMethod">
  <pivotTables>
    <pivotTable tabId="1" name="PivotTable2"/>
  </pivotTables>
  <data>
    <tabular pivotCacheId="1180213849">
      <items count="5">
        <i x="2" s="1"/>
        <i x="0" s="1"/>
        <i x="3" s="1"/>
        <i x="1"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Category1" xr10:uid="{ED403B42-DF99-4F30-B3C8-BDC6F0337BAD}" sourceName="ProductCategory">
  <pivotTables>
    <pivotTable tabId="5" name="PivotTable9"/>
  </pivotTables>
  <data>
    <tabular pivotCacheId="1887314429">
      <items count="7">
        <i x="1" s="1"/>
        <i x="4" s="1"/>
        <i x="0" s="1"/>
        <i x="3" s="1"/>
        <i x="6" s="1"/>
        <i x="5"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Category 1" xr10:uid="{2D37BE3F-FE3F-4EF4-82FF-B9B6A025A262}" cache="Slicer_ProductCategory1" caption="ProductCategory"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Gender" xr10:uid="{90441D44-6E07-4700-9F20-AAA9945DC1B7}" cache="Slicer_CustomerGender" caption="CustomerGender" columnCount="3" rowHeight="241300"/>
  <slicer name="ProductCategory" xr10:uid="{10746BFF-A1D9-41D9-81EF-014C5D384930}" cache="Slicer_ProductCategory" caption="ProductCategory" startItem="1" rowHeight="241300"/>
  <slicer name="PaymentMethod" xr10:uid="{5451AF30-1878-468F-B5D3-038132E8D3F2}" cache="Slicer_PaymentMethod" caption="PaymentMethod"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Gender 1" xr10:uid="{B718FA15-00C6-4039-B5B2-CA222F5AC72D}" cache="Slicer_CustomerGender" caption="CustomerGender" columnCount="3"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1CC2CCD-1FA0-4640-8CDE-86AAF099B721}" name="Table1" displayName="Table1" ref="R2:T8" totalsRowShown="0" headerRowDxfId="5" dataDxfId="4">
  <autoFilter ref="R2:T8" xr:uid="{51CC2CCD-1FA0-4640-8CDE-86AAF099B721}"/>
  <tableColumns count="3">
    <tableColumn id="1" xr3:uid="{52C1ED48-2B51-4DE1-9624-945CD790C0D4}" name="product" dataDxfId="3"/>
    <tableColumn id="2" xr3:uid="{5894E019-EE9C-4367-BADE-E9FF0B24E8F8}" name="north" dataDxfId="2"/>
    <tableColumn id="3" xr3:uid="{14054649-F68A-441F-9F10-A678BB3D02FC}" name="south" dataDxfId="1"/>
  </tableColumns>
  <tableStyleInfo name="TableStyleLight10"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C9B0700-F98C-4EDA-BFDB-28D30ACC582E}" name="Table2" displayName="Table2" ref="V2:X4" totalsRowShown="0">
  <autoFilter ref="V2:X4" xr:uid="{1C9B0700-F98C-4EDA-BFDB-28D30ACC582E}"/>
  <tableColumns count="3">
    <tableColumn id="1" xr3:uid="{F24C66CD-F0DB-413E-8496-B4934DB41FB0}" name="product "/>
    <tableColumn id="2" xr3:uid="{8F1B5789-18D7-4801-AF97-36A40AD5CA1E}" name="north"/>
    <tableColumn id="3" xr3:uid="{2AE8308E-E033-4593-A929-5ADB4F29D2DC}" name="south"/>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6ED5D06-5460-4953-8025-A5D3BD33615B}" name="Table3" displayName="Table3" ref="A1:P31" totalsRowShown="0">
  <autoFilter ref="A1:P31" xr:uid="{76ED5D06-5460-4953-8025-A5D3BD33615B}"/>
  <tableColumns count="16">
    <tableColumn id="1" xr3:uid="{B38F8BB8-2401-4BAB-A234-79AA26F04CFD}" name="TransactionID"/>
    <tableColumn id="2" xr3:uid="{908E2B59-5088-49BA-B745-A25194B92B76}" name="CustomerID"/>
    <tableColumn id="3" xr3:uid="{F281B976-0E7B-4021-941B-5E32E93B4BFA}" name="ProductID"/>
    <tableColumn id="4" xr3:uid="{A6D39A1C-DE1F-4667-9E8D-B48C3757ADC1}" name="ProductCategory"/>
    <tableColumn id="5" xr3:uid="{E5BF8B06-7B3B-474E-A5A2-E725C0D7A66C}" name="PaymentMethod"/>
    <tableColumn id="6" xr3:uid="{4C0C0983-C38B-4888-BE2F-E078E587B6D6}" name="Price"/>
    <tableColumn id="7" xr3:uid="{85F0FDBE-4746-4345-88A3-2EC9B11CF0B1}" name="Discount"/>
    <tableColumn id="8" xr3:uid="{B04DD84B-BC97-4DAD-B3B4-14FD04950DE4}" name="TransactionDate" dataDxfId="0"/>
    <tableColumn id="9" xr3:uid="{BA87FF60-F2C7-458F-BB37-D3E7B560F1C7}" name="Column1"/>
    <tableColumn id="10" xr3:uid="{49F99E97-FFBD-4D78-97BF-85F3051454A8}" name="CustomerLocation"/>
    <tableColumn id="11" xr3:uid="{C4A4B651-CA8A-4330-B7B1-B57298953134}" name="CustomerAge"/>
    <tableColumn id="12" xr3:uid="{C983D7D0-82F5-4270-BCA4-D9280842947D}" name="CustomerGender"/>
    <tableColumn id="13" xr3:uid="{63B729C9-3961-46BD-8509-236B753AA5C5}" name="CustomerIncomeGroup"/>
    <tableColumn id="14" xr3:uid="{39F07599-35DD-4A4E-B461-2416396B87A3}" name="CustomerLoyaltyScore"/>
    <tableColumn id="15" xr3:uid="{2D05DB2E-071D-41C3-93BE-D2D58706AE4B}" name="Quantity"/>
    <tableColumn id="16" xr3:uid="{9331DBE1-F27C-4A70-A123-AD9990E841E1}" name="encode"/>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8" Type="http://schemas.microsoft.com/office/2007/relationships/slicer" Target="../slicers/slicer2.xml"/><Relationship Id="rId3" Type="http://schemas.openxmlformats.org/officeDocument/2006/relationships/pivotTable" Target="../pivotTables/pivotTable7.xml"/><Relationship Id="rId7" Type="http://schemas.openxmlformats.org/officeDocument/2006/relationships/table" Target="../tables/table3.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openxmlformats.org/officeDocument/2006/relationships/table" Target="../tables/table2.xml"/><Relationship Id="rId5" Type="http://schemas.openxmlformats.org/officeDocument/2006/relationships/table" Target="../tables/table1.xml"/><Relationship Id="rId4"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D827E0-71F7-4D96-A30C-5533C92F1B39}">
  <dimension ref="A1"/>
  <sheetViews>
    <sheetView workbookViewId="0">
      <selection activeCell="C22" sqref="C22"/>
    </sheetView>
  </sheetViews>
  <sheetFormatPr defaultRowHeight="15" x14ac:dyDescent="0.25"/>
  <cols>
    <col min="1" max="1" width="15.85546875" bestFit="1" customWidth="1"/>
    <col min="2" max="2" width="12" bestFit="1" customWidth="1"/>
  </cols>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69CE6C-2ED7-4B1E-A177-F877E0ECF238}">
  <dimension ref="A3:B7"/>
  <sheetViews>
    <sheetView workbookViewId="0">
      <selection activeCell="J9" sqref="J9"/>
    </sheetView>
  </sheetViews>
  <sheetFormatPr defaultRowHeight="15" x14ac:dyDescent="0.25"/>
  <cols>
    <col min="1" max="1" width="13.140625" bestFit="1" customWidth="1"/>
    <col min="2" max="2" width="15.42578125" bestFit="1" customWidth="1"/>
  </cols>
  <sheetData>
    <row r="3" spans="1:2" x14ac:dyDescent="0.25">
      <c r="A3" s="6" t="s">
        <v>96</v>
      </c>
      <c r="B3" t="s">
        <v>100</v>
      </c>
    </row>
    <row r="4" spans="1:2" x14ac:dyDescent="0.25">
      <c r="A4" s="7" t="s">
        <v>19</v>
      </c>
      <c r="B4">
        <v>1.22</v>
      </c>
    </row>
    <row r="5" spans="1:2" x14ac:dyDescent="0.25">
      <c r="A5" s="7" t="s">
        <v>35</v>
      </c>
      <c r="B5">
        <v>1.2200000000000002</v>
      </c>
    </row>
    <row r="6" spans="1:2" x14ac:dyDescent="0.25">
      <c r="A6" s="7" t="s">
        <v>24</v>
      </c>
      <c r="B6">
        <v>1.9200000000000002</v>
      </c>
    </row>
    <row r="7" spans="1:2" x14ac:dyDescent="0.25">
      <c r="A7" s="7" t="s">
        <v>97</v>
      </c>
      <c r="B7">
        <v>4.3600000000000003</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95503-C2A3-4EBB-AAA4-6102F76CD15A}">
  <dimension ref="A3:B7"/>
  <sheetViews>
    <sheetView workbookViewId="0">
      <selection activeCell="G16" sqref="G16"/>
    </sheetView>
  </sheetViews>
  <sheetFormatPr defaultRowHeight="15" x14ac:dyDescent="0.25"/>
  <cols>
    <col min="1" max="1" width="13.140625" bestFit="1" customWidth="1"/>
    <col min="2" max="2" width="12" bestFit="1" customWidth="1"/>
  </cols>
  <sheetData>
    <row r="3" spans="1:2" x14ac:dyDescent="0.25">
      <c r="A3" s="6" t="s">
        <v>96</v>
      </c>
      <c r="B3" t="s">
        <v>99</v>
      </c>
    </row>
    <row r="4" spans="1:2" x14ac:dyDescent="0.25">
      <c r="A4" s="7" t="s">
        <v>19</v>
      </c>
      <c r="B4">
        <v>4047.6</v>
      </c>
    </row>
    <row r="5" spans="1:2" x14ac:dyDescent="0.25">
      <c r="A5" s="7" t="s">
        <v>35</v>
      </c>
      <c r="B5">
        <v>3946.06</v>
      </c>
    </row>
    <row r="6" spans="1:2" x14ac:dyDescent="0.25">
      <c r="A6" s="7" t="s">
        <v>24</v>
      </c>
      <c r="B6">
        <v>5121.9100000000008</v>
      </c>
    </row>
    <row r="7" spans="1:2" x14ac:dyDescent="0.25">
      <c r="A7" s="7" t="s">
        <v>97</v>
      </c>
      <c r="B7">
        <v>13115.57</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0CF5CE-21C9-4194-A4CD-20851FC859C2}">
  <dimension ref="A3:D11"/>
  <sheetViews>
    <sheetView workbookViewId="0">
      <selection activeCell="T26" sqref="T26"/>
    </sheetView>
  </sheetViews>
  <sheetFormatPr defaultRowHeight="15" x14ac:dyDescent="0.25"/>
  <cols>
    <col min="1" max="1" width="17.42578125" bestFit="1" customWidth="1"/>
    <col min="2" max="2" width="18.28515625" bestFit="1" customWidth="1"/>
    <col min="3" max="3" width="16.42578125" bestFit="1" customWidth="1"/>
    <col min="4" max="4" width="15.42578125" bestFit="1" customWidth="1"/>
  </cols>
  <sheetData>
    <row r="3" spans="1:4" x14ac:dyDescent="0.25">
      <c r="A3" s="6" t="s">
        <v>96</v>
      </c>
      <c r="B3" t="s">
        <v>101</v>
      </c>
      <c r="C3" t="s">
        <v>102</v>
      </c>
      <c r="D3" t="s">
        <v>103</v>
      </c>
    </row>
    <row r="4" spans="1:4" x14ac:dyDescent="0.25">
      <c r="A4" s="7" t="s">
        <v>21</v>
      </c>
      <c r="B4">
        <v>22595</v>
      </c>
      <c r="C4">
        <v>3326</v>
      </c>
      <c r="D4">
        <v>14</v>
      </c>
    </row>
    <row r="5" spans="1:4" x14ac:dyDescent="0.25">
      <c r="A5" s="7" t="s">
        <v>33</v>
      </c>
      <c r="B5">
        <v>19398</v>
      </c>
      <c r="C5">
        <v>1931</v>
      </c>
      <c r="D5">
        <v>11</v>
      </c>
    </row>
    <row r="6" spans="1:4" x14ac:dyDescent="0.25">
      <c r="A6" s="7" t="s">
        <v>16</v>
      </c>
      <c r="B6">
        <v>13139</v>
      </c>
      <c r="C6">
        <v>1424</v>
      </c>
      <c r="D6">
        <v>6</v>
      </c>
    </row>
    <row r="7" spans="1:4" x14ac:dyDescent="0.25">
      <c r="A7" s="7" t="s">
        <v>31</v>
      </c>
      <c r="B7">
        <v>32970</v>
      </c>
      <c r="C7">
        <v>2574</v>
      </c>
      <c r="D7">
        <v>17</v>
      </c>
    </row>
    <row r="8" spans="1:4" x14ac:dyDescent="0.25">
      <c r="A8" s="7" t="s">
        <v>45</v>
      </c>
      <c r="B8">
        <v>7167</v>
      </c>
      <c r="C8">
        <v>767</v>
      </c>
      <c r="D8">
        <v>4</v>
      </c>
    </row>
    <row r="9" spans="1:4" x14ac:dyDescent="0.25">
      <c r="A9" s="7" t="s">
        <v>38</v>
      </c>
      <c r="B9">
        <v>14947</v>
      </c>
      <c r="C9">
        <v>2570</v>
      </c>
      <c r="D9">
        <v>7</v>
      </c>
    </row>
    <row r="10" spans="1:4" x14ac:dyDescent="0.25">
      <c r="A10" s="7" t="s">
        <v>26</v>
      </c>
      <c r="B10">
        <v>47877</v>
      </c>
      <c r="C10">
        <v>2827</v>
      </c>
      <c r="D10">
        <v>19</v>
      </c>
    </row>
    <row r="11" spans="1:4" x14ac:dyDescent="0.25">
      <c r="A11" s="7" t="s">
        <v>97</v>
      </c>
      <c r="B11">
        <v>158093</v>
      </c>
      <c r="C11">
        <v>15419</v>
      </c>
      <c r="D11">
        <v>78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BC5C1D-BACE-4587-A702-5C727D98443E}">
  <dimension ref="A3:B8"/>
  <sheetViews>
    <sheetView workbookViewId="0">
      <selection activeCell="H26" sqref="H26"/>
    </sheetView>
  </sheetViews>
  <sheetFormatPr defaultRowHeight="15" x14ac:dyDescent="0.25"/>
  <cols>
    <col min="1" max="1" width="18.42578125" bestFit="1" customWidth="1"/>
    <col min="2" max="2" width="12" bestFit="1" customWidth="1"/>
  </cols>
  <sheetData>
    <row r="3" spans="1:2" x14ac:dyDescent="0.25">
      <c r="A3" s="6" t="s">
        <v>4</v>
      </c>
      <c r="B3" t="s">
        <v>99</v>
      </c>
    </row>
    <row r="4" spans="1:2" x14ac:dyDescent="0.25">
      <c r="A4" t="s">
        <v>28</v>
      </c>
      <c r="B4" s="9">
        <v>1934.9099999999999</v>
      </c>
    </row>
    <row r="5" spans="1:2" x14ac:dyDescent="0.25">
      <c r="A5" t="s">
        <v>17</v>
      </c>
      <c r="B5" s="9">
        <v>4839.92</v>
      </c>
    </row>
    <row r="6" spans="1:2" x14ac:dyDescent="0.25">
      <c r="A6" t="s">
        <v>36</v>
      </c>
      <c r="B6" s="9">
        <v>2460.0099999999998</v>
      </c>
    </row>
    <row r="7" spans="1:2" x14ac:dyDescent="0.25">
      <c r="A7" t="s">
        <v>22</v>
      </c>
      <c r="B7" s="9">
        <v>2480.67</v>
      </c>
    </row>
    <row r="8" spans="1:2" x14ac:dyDescent="0.25">
      <c r="A8" t="s">
        <v>50</v>
      </c>
      <c r="B8" s="9">
        <v>1400.06</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1DB5CA-145E-4C19-AA28-5622FC6DFCF8}">
  <dimension ref="A1:AP58"/>
  <sheetViews>
    <sheetView zoomScaleNormal="100" workbookViewId="0">
      <selection activeCell="G37" sqref="G37"/>
    </sheetView>
  </sheetViews>
  <sheetFormatPr defaultRowHeight="15" x14ac:dyDescent="0.25"/>
  <cols>
    <col min="1" max="1" width="15.140625" customWidth="1"/>
    <col min="2" max="2" width="15.42578125" bestFit="1" customWidth="1"/>
    <col min="3" max="3" width="14" bestFit="1" customWidth="1"/>
    <col min="4" max="4" width="18.140625" bestFit="1" customWidth="1"/>
    <col min="5" max="5" width="18" customWidth="1"/>
    <col min="6" max="6" width="7.5703125" customWidth="1"/>
    <col min="7" max="7" width="11.28515625" bestFit="1" customWidth="1"/>
    <col min="8" max="8" width="17.42578125" customWidth="1"/>
    <col min="9" max="9" width="13.140625" bestFit="1" customWidth="1"/>
    <col min="10" max="10" width="16.28515625" bestFit="1" customWidth="1"/>
    <col min="11" max="11" width="15.85546875" bestFit="1" customWidth="1"/>
    <col min="12" max="12" width="10.85546875" bestFit="1" customWidth="1"/>
    <col min="13" max="13" width="13.140625" bestFit="1" customWidth="1"/>
    <col min="14" max="14" width="16.28515625" bestFit="1" customWidth="1"/>
    <col min="15" max="15" width="15.85546875" bestFit="1" customWidth="1"/>
    <col min="16" max="16" width="10.85546875" bestFit="1" customWidth="1"/>
    <col min="17" max="17" width="10.28515625" bestFit="1" customWidth="1"/>
    <col min="18" max="18" width="8" bestFit="1" customWidth="1"/>
    <col min="19" max="19" width="11.28515625" bestFit="1" customWidth="1"/>
    <col min="20" max="20" width="13.42578125" bestFit="1" customWidth="1"/>
    <col min="21" max="21" width="15.85546875" bestFit="1" customWidth="1"/>
    <col min="22" max="22" width="10.85546875" bestFit="1" customWidth="1"/>
    <col min="23" max="23" width="10.28515625" bestFit="1" customWidth="1"/>
    <col min="24" max="24" width="7" bestFit="1" customWidth="1"/>
    <col min="25" max="25" width="15.5703125" bestFit="1" customWidth="1"/>
    <col min="26" max="26" width="17.42578125" bestFit="1" customWidth="1"/>
    <col min="27" max="27" width="10.28515625" bestFit="1" customWidth="1"/>
    <col min="28" max="28" width="20.5703125" bestFit="1" customWidth="1"/>
    <col min="29" max="29" width="13.140625" bestFit="1" customWidth="1"/>
    <col min="30" max="30" width="15.85546875" bestFit="1" customWidth="1"/>
    <col min="31" max="31" width="10.85546875" bestFit="1" customWidth="1"/>
    <col min="32" max="32" width="11.42578125" bestFit="1" customWidth="1"/>
    <col min="33" max="33" width="13.140625" bestFit="1" customWidth="1"/>
    <col min="34" max="34" width="15.85546875" bestFit="1" customWidth="1"/>
    <col min="35" max="35" width="10.85546875" bestFit="1" customWidth="1"/>
    <col min="36" max="36" width="10.28515625" bestFit="1" customWidth="1"/>
    <col min="37" max="37" width="9.85546875" bestFit="1" customWidth="1"/>
    <col min="38" max="38" width="11.28515625" bestFit="1" customWidth="1"/>
    <col min="39" max="42" width="12" bestFit="1" customWidth="1"/>
  </cols>
  <sheetData>
    <row r="1" spans="1:40" x14ac:dyDescent="0.25">
      <c r="A1" t="s">
        <v>0</v>
      </c>
      <c r="B1" t="s">
        <v>1</v>
      </c>
      <c r="C1" t="s">
        <v>2</v>
      </c>
      <c r="D1" t="s">
        <v>3</v>
      </c>
      <c r="E1" t="s">
        <v>4</v>
      </c>
      <c r="F1" t="s">
        <v>5</v>
      </c>
      <c r="G1" t="s">
        <v>6</v>
      </c>
      <c r="H1" t="s">
        <v>7</v>
      </c>
      <c r="I1" t="s">
        <v>8</v>
      </c>
      <c r="J1" t="s">
        <v>9</v>
      </c>
      <c r="K1" t="s">
        <v>10</v>
      </c>
      <c r="L1" t="s">
        <v>11</v>
      </c>
      <c r="M1" t="s">
        <v>12</v>
      </c>
      <c r="N1" t="s">
        <v>13</v>
      </c>
      <c r="O1" t="s">
        <v>14</v>
      </c>
      <c r="P1" t="s">
        <v>15</v>
      </c>
    </row>
    <row r="2" spans="1:40" x14ac:dyDescent="0.25">
      <c r="A2">
        <v>1</v>
      </c>
      <c r="B2">
        <v>8270</v>
      </c>
      <c r="C2">
        <v>295</v>
      </c>
      <c r="D2" t="s">
        <v>16</v>
      </c>
      <c r="E2" t="s">
        <v>17</v>
      </c>
      <c r="F2">
        <v>801.66</v>
      </c>
      <c r="G2">
        <v>0.13</v>
      </c>
      <c r="H2" s="1">
        <v>45282.440972222219</v>
      </c>
      <c r="J2" t="s">
        <v>18</v>
      </c>
      <c r="K2">
        <v>46</v>
      </c>
      <c r="L2" t="s">
        <v>19</v>
      </c>
      <c r="M2" t="s">
        <v>20</v>
      </c>
      <c r="N2">
        <v>83.36</v>
      </c>
      <c r="O2">
        <v>1</v>
      </c>
      <c r="P2">
        <v>1</v>
      </c>
      <c r="R2" s="2" t="s">
        <v>87</v>
      </c>
      <c r="S2" s="2" t="s">
        <v>92</v>
      </c>
      <c r="T2" s="2" t="s">
        <v>93</v>
      </c>
      <c r="V2" t="s">
        <v>94</v>
      </c>
      <c r="W2" t="s">
        <v>92</v>
      </c>
      <c r="X2" t="s">
        <v>93</v>
      </c>
    </row>
    <row r="3" spans="1:40" x14ac:dyDescent="0.25">
      <c r="A3">
        <v>2</v>
      </c>
      <c r="B3">
        <v>1860</v>
      </c>
      <c r="C3">
        <v>546</v>
      </c>
      <c r="D3" t="s">
        <v>21</v>
      </c>
      <c r="E3" t="s">
        <v>22</v>
      </c>
      <c r="F3">
        <v>225.03</v>
      </c>
      <c r="G3">
        <v>0.06</v>
      </c>
      <c r="H3" s="1">
        <v>45417.444444444445</v>
      </c>
      <c r="J3" t="s">
        <v>23</v>
      </c>
      <c r="K3">
        <v>59</v>
      </c>
      <c r="L3" t="s">
        <v>24</v>
      </c>
      <c r="M3" t="s">
        <v>25</v>
      </c>
      <c r="N3">
        <v>58.88</v>
      </c>
      <c r="O3">
        <v>1</v>
      </c>
      <c r="P3">
        <v>2</v>
      </c>
      <c r="R3" s="2" t="s">
        <v>33</v>
      </c>
      <c r="S3" s="2">
        <v>225.65</v>
      </c>
      <c r="T3" s="2">
        <v>525</v>
      </c>
      <c r="V3" t="s">
        <v>70</v>
      </c>
      <c r="W3">
        <v>225</v>
      </c>
      <c r="X3">
        <v>252</v>
      </c>
    </row>
    <row r="4" spans="1:40" x14ac:dyDescent="0.25">
      <c r="A4">
        <v>3</v>
      </c>
      <c r="B4">
        <v>6390</v>
      </c>
      <c r="C4">
        <v>430</v>
      </c>
      <c r="D4" t="s">
        <v>26</v>
      </c>
      <c r="E4" t="s">
        <v>22</v>
      </c>
      <c r="F4">
        <v>544.99</v>
      </c>
      <c r="G4">
        <v>0.24</v>
      </c>
      <c r="H4" s="1">
        <v>45264.223611111112</v>
      </c>
      <c r="J4" t="s">
        <v>27</v>
      </c>
      <c r="K4">
        <v>61</v>
      </c>
      <c r="L4" t="s">
        <v>19</v>
      </c>
      <c r="M4" t="s">
        <v>25</v>
      </c>
      <c r="N4">
        <v>53.99</v>
      </c>
      <c r="O4">
        <v>2</v>
      </c>
      <c r="P4">
        <v>3</v>
      </c>
      <c r="R4" s="2" t="s">
        <v>33</v>
      </c>
      <c r="S4" s="2">
        <v>202.66</v>
      </c>
      <c r="T4" s="2">
        <v>624</v>
      </c>
      <c r="V4" t="s">
        <v>95</v>
      </c>
      <c r="W4">
        <v>121</v>
      </c>
      <c r="X4">
        <v>542</v>
      </c>
    </row>
    <row r="5" spans="1:40" x14ac:dyDescent="0.25">
      <c r="A5">
        <v>4</v>
      </c>
      <c r="B5">
        <v>6191</v>
      </c>
      <c r="C5">
        <v>807</v>
      </c>
      <c r="D5" t="s">
        <v>21</v>
      </c>
      <c r="E5" t="s">
        <v>28</v>
      </c>
      <c r="F5">
        <v>157.02000000000001</v>
      </c>
      <c r="G5">
        <v>0.01</v>
      </c>
      <c r="H5" s="1">
        <v>45293.46597222222</v>
      </c>
      <c r="J5" t="s">
        <v>29</v>
      </c>
      <c r="K5">
        <v>69</v>
      </c>
      <c r="L5" t="s">
        <v>19</v>
      </c>
      <c r="M5" t="s">
        <v>30</v>
      </c>
      <c r="N5">
        <v>11.73</v>
      </c>
      <c r="O5">
        <v>2</v>
      </c>
      <c r="P5">
        <v>2</v>
      </c>
      <c r="R5" s="2" t="s">
        <v>33</v>
      </c>
      <c r="S5" s="2">
        <v>222</v>
      </c>
      <c r="T5" s="2">
        <v>624</v>
      </c>
    </row>
    <row r="6" spans="1:40" x14ac:dyDescent="0.25">
      <c r="A6">
        <v>5</v>
      </c>
      <c r="B6">
        <v>6734</v>
      </c>
      <c r="C6">
        <v>319</v>
      </c>
      <c r="D6" t="s">
        <v>31</v>
      </c>
      <c r="E6" t="s">
        <v>22</v>
      </c>
      <c r="F6">
        <v>155.51</v>
      </c>
      <c r="G6">
        <v>0.14000000000000001</v>
      </c>
      <c r="H6" s="1">
        <v>45461.042361111111</v>
      </c>
      <c r="J6" t="s">
        <v>32</v>
      </c>
      <c r="K6">
        <v>29</v>
      </c>
      <c r="L6" t="s">
        <v>24</v>
      </c>
      <c r="M6" t="s">
        <v>25</v>
      </c>
      <c r="N6">
        <v>34.79</v>
      </c>
      <c r="O6">
        <v>2</v>
      </c>
      <c r="P6">
        <v>4</v>
      </c>
      <c r="R6" s="2" t="s">
        <v>16</v>
      </c>
      <c r="S6" s="2">
        <v>121</v>
      </c>
      <c r="T6" s="2">
        <v>542</v>
      </c>
    </row>
    <row r="7" spans="1:40" x14ac:dyDescent="0.25">
      <c r="A7">
        <v>6</v>
      </c>
      <c r="B7">
        <v>7265</v>
      </c>
      <c r="C7">
        <v>282</v>
      </c>
      <c r="D7" t="s">
        <v>33</v>
      </c>
      <c r="E7" t="s">
        <v>28</v>
      </c>
      <c r="F7">
        <v>225.65</v>
      </c>
      <c r="G7">
        <v>0.18</v>
      </c>
      <c r="H7" s="1">
        <v>45357.260416666664</v>
      </c>
      <c r="J7" t="s">
        <v>34</v>
      </c>
      <c r="K7">
        <v>60</v>
      </c>
      <c r="L7" t="s">
        <v>35</v>
      </c>
      <c r="M7" t="s">
        <v>25</v>
      </c>
      <c r="N7">
        <v>25.78</v>
      </c>
      <c r="O7">
        <v>3</v>
      </c>
      <c r="P7">
        <v>6</v>
      </c>
      <c r="R7" s="2" t="s">
        <v>16</v>
      </c>
      <c r="S7" s="2">
        <v>254</v>
      </c>
      <c r="T7" s="2">
        <v>653</v>
      </c>
      <c r="U7" s="2"/>
    </row>
    <row r="8" spans="1:40" x14ac:dyDescent="0.25">
      <c r="A8">
        <v>7</v>
      </c>
      <c r="B8">
        <v>1466</v>
      </c>
      <c r="C8">
        <v>276</v>
      </c>
      <c r="D8" t="s">
        <v>21</v>
      </c>
      <c r="E8" t="s">
        <v>36</v>
      </c>
      <c r="F8">
        <v>631.96</v>
      </c>
      <c r="G8">
        <v>0.09</v>
      </c>
      <c r="H8" s="1">
        <v>45214.5625</v>
      </c>
      <c r="J8" t="s">
        <v>37</v>
      </c>
      <c r="K8">
        <v>69</v>
      </c>
      <c r="L8" t="s">
        <v>35</v>
      </c>
      <c r="M8" t="s">
        <v>30</v>
      </c>
      <c r="N8">
        <v>68.36</v>
      </c>
      <c r="O8">
        <v>3</v>
      </c>
      <c r="P8">
        <v>2</v>
      </c>
      <c r="R8" s="2" t="s">
        <v>16</v>
      </c>
      <c r="S8" s="2">
        <v>123</v>
      </c>
      <c r="T8" s="2">
        <v>542</v>
      </c>
      <c r="U8" s="2"/>
      <c r="Z8" t="s">
        <v>64</v>
      </c>
      <c r="AJ8" t="s">
        <v>71</v>
      </c>
    </row>
    <row r="9" spans="1:40" ht="15.75" thickBot="1" x14ac:dyDescent="0.3">
      <c r="A9">
        <v>8</v>
      </c>
      <c r="B9">
        <v>5426</v>
      </c>
      <c r="C9">
        <v>574</v>
      </c>
      <c r="D9" t="s">
        <v>38</v>
      </c>
      <c r="E9" t="s">
        <v>17</v>
      </c>
      <c r="F9">
        <v>522.87</v>
      </c>
      <c r="G9">
        <v>0.28999999999999998</v>
      </c>
      <c r="H9" s="1">
        <v>45428.073611111111</v>
      </c>
      <c r="J9" t="s">
        <v>39</v>
      </c>
      <c r="K9">
        <v>45</v>
      </c>
      <c r="L9" t="s">
        <v>19</v>
      </c>
      <c r="M9" t="s">
        <v>25</v>
      </c>
      <c r="N9">
        <v>19.23</v>
      </c>
      <c r="O9">
        <v>1</v>
      </c>
      <c r="P9">
        <v>5</v>
      </c>
      <c r="U9" s="2"/>
    </row>
    <row r="10" spans="1:40" ht="15.75" thickBot="1" x14ac:dyDescent="0.3">
      <c r="A10">
        <v>9</v>
      </c>
      <c r="B10">
        <v>6578</v>
      </c>
      <c r="C10">
        <v>948</v>
      </c>
      <c r="D10" t="s">
        <v>33</v>
      </c>
      <c r="E10" t="s">
        <v>17</v>
      </c>
      <c r="F10">
        <v>202.66</v>
      </c>
      <c r="G10">
        <v>0.12</v>
      </c>
      <c r="H10" s="1">
        <v>45508.717361111114</v>
      </c>
      <c r="J10" t="s">
        <v>40</v>
      </c>
      <c r="K10">
        <v>37</v>
      </c>
      <c r="L10" t="s">
        <v>35</v>
      </c>
      <c r="M10" t="s">
        <v>30</v>
      </c>
      <c r="N10">
        <v>28.61</v>
      </c>
      <c r="O10">
        <v>4</v>
      </c>
      <c r="P10">
        <v>6</v>
      </c>
      <c r="R10" t="s">
        <v>88</v>
      </c>
      <c r="Z10" s="5" t="s">
        <v>65</v>
      </c>
      <c r="AA10" s="5" t="s">
        <v>66</v>
      </c>
      <c r="AB10" s="5" t="s">
        <v>67</v>
      </c>
      <c r="AC10" s="5" t="s">
        <v>68</v>
      </c>
      <c r="AD10" s="5" t="s">
        <v>69</v>
      </c>
      <c r="AJ10" t="s">
        <v>65</v>
      </c>
    </row>
    <row r="11" spans="1:40" x14ac:dyDescent="0.25">
      <c r="A11">
        <v>10</v>
      </c>
      <c r="B11">
        <v>9322</v>
      </c>
      <c r="C11">
        <v>459</v>
      </c>
      <c r="D11" t="s">
        <v>26</v>
      </c>
      <c r="E11" t="s">
        <v>17</v>
      </c>
      <c r="F11">
        <v>401.52</v>
      </c>
      <c r="G11">
        <v>0.23</v>
      </c>
      <c r="H11" s="1">
        <v>45278.776388888888</v>
      </c>
      <c r="J11" t="s">
        <v>41</v>
      </c>
      <c r="K11">
        <v>67</v>
      </c>
      <c r="L11" t="s">
        <v>19</v>
      </c>
      <c r="M11" t="s">
        <v>30</v>
      </c>
      <c r="N11">
        <v>35.18</v>
      </c>
      <c r="O11">
        <v>3</v>
      </c>
      <c r="P11">
        <v>3</v>
      </c>
      <c r="Z11" t="s">
        <v>33</v>
      </c>
      <c r="AA11">
        <v>2</v>
      </c>
      <c r="AB11">
        <v>750.65</v>
      </c>
      <c r="AC11">
        <v>375.32499999999999</v>
      </c>
      <c r="AD11">
        <v>44805.211249999993</v>
      </c>
      <c r="AJ11" s="5" t="s">
        <v>72</v>
      </c>
      <c r="AK11" s="5" t="s">
        <v>66</v>
      </c>
      <c r="AL11" s="5" t="s">
        <v>67</v>
      </c>
      <c r="AM11" s="5" t="s">
        <v>68</v>
      </c>
      <c r="AN11" s="5" t="s">
        <v>69</v>
      </c>
    </row>
    <row r="12" spans="1:40" x14ac:dyDescent="0.25">
      <c r="A12">
        <v>11</v>
      </c>
      <c r="B12">
        <v>2685</v>
      </c>
      <c r="C12">
        <v>745</v>
      </c>
      <c r="D12" t="s">
        <v>16</v>
      </c>
      <c r="E12" t="s">
        <v>17</v>
      </c>
      <c r="F12">
        <v>346.31</v>
      </c>
      <c r="G12">
        <v>0.06</v>
      </c>
      <c r="H12" s="1">
        <v>45438.12222222222</v>
      </c>
      <c r="J12" t="s">
        <v>42</v>
      </c>
      <c r="K12">
        <v>36</v>
      </c>
      <c r="L12" t="s">
        <v>24</v>
      </c>
      <c r="M12" t="s">
        <v>30</v>
      </c>
      <c r="N12">
        <v>76.819999999999993</v>
      </c>
      <c r="O12">
        <v>3</v>
      </c>
      <c r="P12">
        <v>1</v>
      </c>
      <c r="R12" t="s">
        <v>65</v>
      </c>
      <c r="S12" t="s">
        <v>92</v>
      </c>
      <c r="T12" t="s">
        <v>93</v>
      </c>
      <c r="U12" t="s">
        <v>83</v>
      </c>
      <c r="Z12" t="s">
        <v>33</v>
      </c>
      <c r="AA12">
        <v>2</v>
      </c>
      <c r="AB12">
        <v>826.66</v>
      </c>
      <c r="AC12">
        <v>413.33</v>
      </c>
      <c r="AD12">
        <v>88763.697800000024</v>
      </c>
      <c r="AJ12" t="s">
        <v>33</v>
      </c>
      <c r="AK12">
        <v>2</v>
      </c>
      <c r="AL12">
        <v>750.65</v>
      </c>
      <c r="AM12">
        <v>375.32499999999999</v>
      </c>
      <c r="AN12">
        <v>44805.211249999993</v>
      </c>
    </row>
    <row r="13" spans="1:40" ht="15.75" thickBot="1" x14ac:dyDescent="0.3">
      <c r="A13">
        <v>12</v>
      </c>
      <c r="B13">
        <v>1769</v>
      </c>
      <c r="C13">
        <v>564</v>
      </c>
      <c r="D13" t="s">
        <v>38</v>
      </c>
      <c r="E13" t="s">
        <v>28</v>
      </c>
      <c r="F13">
        <v>434.15</v>
      </c>
      <c r="G13">
        <v>0.05</v>
      </c>
      <c r="H13" s="1">
        <v>45195.220833333333</v>
      </c>
      <c r="J13" t="s">
        <v>43</v>
      </c>
      <c r="K13">
        <v>61</v>
      </c>
      <c r="L13" t="s">
        <v>24</v>
      </c>
      <c r="M13" t="s">
        <v>25</v>
      </c>
      <c r="N13">
        <v>26.24</v>
      </c>
      <c r="O13">
        <v>1</v>
      </c>
      <c r="P13">
        <v>5</v>
      </c>
      <c r="R13" s="3" t="s">
        <v>33</v>
      </c>
      <c r="S13" s="3"/>
      <c r="T13" s="3"/>
      <c r="U13" s="3"/>
      <c r="Z13" t="s">
        <v>33</v>
      </c>
      <c r="AA13">
        <v>2</v>
      </c>
      <c r="AB13">
        <v>846</v>
      </c>
      <c r="AC13">
        <v>423</v>
      </c>
      <c r="AD13">
        <v>80802</v>
      </c>
      <c r="AJ13" t="s">
        <v>33</v>
      </c>
      <c r="AK13">
        <v>2</v>
      </c>
      <c r="AL13">
        <v>826.66</v>
      </c>
      <c r="AM13">
        <v>413.33</v>
      </c>
      <c r="AN13">
        <v>88763.697800000024</v>
      </c>
    </row>
    <row r="14" spans="1:40" x14ac:dyDescent="0.25">
      <c r="A14">
        <v>13</v>
      </c>
      <c r="B14">
        <v>7949</v>
      </c>
      <c r="C14">
        <v>334</v>
      </c>
      <c r="D14" t="s">
        <v>31</v>
      </c>
      <c r="E14" t="s">
        <v>36</v>
      </c>
      <c r="F14">
        <v>189.87</v>
      </c>
      <c r="G14">
        <v>0.25</v>
      </c>
      <c r="H14" s="1">
        <v>45273.995138888888</v>
      </c>
      <c r="J14" t="s">
        <v>44</v>
      </c>
      <c r="K14">
        <v>65</v>
      </c>
      <c r="L14" t="s">
        <v>24</v>
      </c>
      <c r="M14" t="s">
        <v>30</v>
      </c>
      <c r="N14">
        <v>39.909999999999997</v>
      </c>
      <c r="O14">
        <v>3</v>
      </c>
      <c r="P14">
        <v>4</v>
      </c>
      <c r="R14" t="s">
        <v>66</v>
      </c>
      <c r="S14">
        <v>3</v>
      </c>
      <c r="T14">
        <v>3</v>
      </c>
      <c r="U14">
        <v>6</v>
      </c>
      <c r="Z14" t="s">
        <v>16</v>
      </c>
      <c r="AA14">
        <v>2</v>
      </c>
      <c r="AB14">
        <v>663</v>
      </c>
      <c r="AC14">
        <v>331.5</v>
      </c>
      <c r="AD14">
        <v>88620.5</v>
      </c>
      <c r="AJ14" t="s">
        <v>33</v>
      </c>
      <c r="AK14">
        <v>2</v>
      </c>
      <c r="AL14">
        <v>846</v>
      </c>
      <c r="AM14">
        <v>423</v>
      </c>
      <c r="AN14">
        <v>80802</v>
      </c>
    </row>
    <row r="15" spans="1:40" x14ac:dyDescent="0.25">
      <c r="A15">
        <v>14</v>
      </c>
      <c r="B15">
        <v>3433</v>
      </c>
      <c r="C15">
        <v>536</v>
      </c>
      <c r="D15" t="s">
        <v>45</v>
      </c>
      <c r="E15" t="s">
        <v>22</v>
      </c>
      <c r="F15">
        <v>559.1</v>
      </c>
      <c r="G15">
        <v>0.15</v>
      </c>
      <c r="H15" s="1">
        <v>45262.322222222225</v>
      </c>
      <c r="J15" t="s">
        <v>46</v>
      </c>
      <c r="K15">
        <v>35</v>
      </c>
      <c r="L15" t="s">
        <v>35</v>
      </c>
      <c r="M15" t="s">
        <v>30</v>
      </c>
      <c r="N15">
        <v>69.39</v>
      </c>
      <c r="O15">
        <v>1</v>
      </c>
      <c r="P15">
        <v>0</v>
      </c>
      <c r="R15" t="s">
        <v>67</v>
      </c>
      <c r="S15">
        <v>650.30999999999995</v>
      </c>
      <c r="T15">
        <v>1773</v>
      </c>
      <c r="U15">
        <v>2423.31</v>
      </c>
      <c r="Z15" t="s">
        <v>16</v>
      </c>
      <c r="AA15">
        <v>2</v>
      </c>
      <c r="AB15">
        <v>907</v>
      </c>
      <c r="AC15">
        <v>453.5</v>
      </c>
      <c r="AD15">
        <v>79600.5</v>
      </c>
      <c r="AJ15" t="s">
        <v>16</v>
      </c>
      <c r="AK15">
        <v>2</v>
      </c>
      <c r="AL15">
        <v>663</v>
      </c>
      <c r="AM15">
        <v>331.5</v>
      </c>
      <c r="AN15">
        <v>88620.5</v>
      </c>
    </row>
    <row r="16" spans="1:40" x14ac:dyDescent="0.25">
      <c r="A16">
        <v>15</v>
      </c>
      <c r="B16">
        <v>6311</v>
      </c>
      <c r="C16">
        <v>239</v>
      </c>
      <c r="D16" t="s">
        <v>26</v>
      </c>
      <c r="E16" t="s">
        <v>17</v>
      </c>
      <c r="F16">
        <v>29.01</v>
      </c>
      <c r="G16">
        <v>0.26</v>
      </c>
      <c r="H16" s="1">
        <v>45352.742361111108</v>
      </c>
      <c r="J16" t="s">
        <v>47</v>
      </c>
      <c r="K16">
        <v>20</v>
      </c>
      <c r="L16" t="s">
        <v>24</v>
      </c>
      <c r="M16" t="s">
        <v>25</v>
      </c>
      <c r="N16">
        <v>10.33</v>
      </c>
      <c r="O16">
        <v>3</v>
      </c>
      <c r="P16">
        <v>3</v>
      </c>
      <c r="R16" t="s">
        <v>68</v>
      </c>
      <c r="S16">
        <v>216.76999999999998</v>
      </c>
      <c r="T16">
        <v>591</v>
      </c>
      <c r="U16">
        <v>403.88499999999999</v>
      </c>
      <c r="Z16" t="s">
        <v>16</v>
      </c>
      <c r="AA16">
        <v>2</v>
      </c>
      <c r="AB16">
        <v>665</v>
      </c>
      <c r="AC16">
        <v>332.5</v>
      </c>
      <c r="AD16">
        <v>87780.5</v>
      </c>
      <c r="AJ16" t="s">
        <v>16</v>
      </c>
      <c r="AK16">
        <v>2</v>
      </c>
      <c r="AL16">
        <v>907</v>
      </c>
      <c r="AM16">
        <v>453.5</v>
      </c>
      <c r="AN16">
        <v>79600.5</v>
      </c>
    </row>
    <row r="17" spans="1:42" ht="15.75" thickBot="1" x14ac:dyDescent="0.3">
      <c r="A17">
        <v>16</v>
      </c>
      <c r="B17">
        <v>6051</v>
      </c>
      <c r="C17">
        <v>587</v>
      </c>
      <c r="D17" t="s">
        <v>26</v>
      </c>
      <c r="E17" t="s">
        <v>28</v>
      </c>
      <c r="F17">
        <v>541.5</v>
      </c>
      <c r="G17">
        <v>0.22</v>
      </c>
      <c r="H17" s="1">
        <v>45516.509027777778</v>
      </c>
      <c r="J17" t="s">
        <v>48</v>
      </c>
      <c r="K17">
        <v>46</v>
      </c>
      <c r="L17" t="s">
        <v>24</v>
      </c>
      <c r="M17" t="s">
        <v>30</v>
      </c>
      <c r="N17">
        <v>41.77</v>
      </c>
      <c r="O17">
        <v>2</v>
      </c>
      <c r="P17">
        <v>3</v>
      </c>
      <c r="R17" t="s">
        <v>69</v>
      </c>
      <c r="S17">
        <v>152.64970000000011</v>
      </c>
      <c r="T17">
        <v>3267</v>
      </c>
      <c r="U17">
        <v>43382.287750000018</v>
      </c>
      <c r="AJ17" s="4" t="s">
        <v>16</v>
      </c>
      <c r="AK17" s="4">
        <v>2</v>
      </c>
      <c r="AL17" s="4">
        <v>665</v>
      </c>
      <c r="AM17" s="4">
        <v>332.5</v>
      </c>
      <c r="AN17" s="4">
        <v>87780.5</v>
      </c>
    </row>
    <row r="18" spans="1:42" x14ac:dyDescent="0.25">
      <c r="A18">
        <v>17</v>
      </c>
      <c r="B18">
        <v>7420</v>
      </c>
      <c r="C18">
        <v>868</v>
      </c>
      <c r="D18" t="s">
        <v>21</v>
      </c>
      <c r="E18" t="s">
        <v>36</v>
      </c>
      <c r="F18">
        <v>218.68</v>
      </c>
      <c r="G18">
        <v>0.19</v>
      </c>
      <c r="H18" s="1">
        <v>45497.367361111108</v>
      </c>
      <c r="J18" t="s">
        <v>49</v>
      </c>
      <c r="K18">
        <v>21</v>
      </c>
      <c r="L18" t="s">
        <v>24</v>
      </c>
      <c r="M18" t="s">
        <v>20</v>
      </c>
      <c r="N18">
        <v>9.93</v>
      </c>
      <c r="O18">
        <v>4</v>
      </c>
      <c r="P18">
        <v>2</v>
      </c>
      <c r="Z18" t="s">
        <v>92</v>
      </c>
      <c r="AA18">
        <v>6</v>
      </c>
      <c r="AB18">
        <v>1148.31</v>
      </c>
      <c r="AC18">
        <v>191.38499999999999</v>
      </c>
      <c r="AD18">
        <v>3157.9377500000001</v>
      </c>
    </row>
    <row r="19" spans="1:42" ht="15.75" thickBot="1" x14ac:dyDescent="0.3">
      <c r="A19">
        <v>18</v>
      </c>
      <c r="B19">
        <v>2184</v>
      </c>
      <c r="C19">
        <v>384</v>
      </c>
      <c r="D19" t="s">
        <v>16</v>
      </c>
      <c r="E19" t="s">
        <v>50</v>
      </c>
      <c r="F19">
        <v>439.07</v>
      </c>
      <c r="G19">
        <v>0.26</v>
      </c>
      <c r="H19" s="1">
        <v>45457.752083333333</v>
      </c>
      <c r="J19" t="s">
        <v>51</v>
      </c>
      <c r="K19">
        <v>23</v>
      </c>
      <c r="L19" t="s">
        <v>24</v>
      </c>
      <c r="M19" t="s">
        <v>20</v>
      </c>
      <c r="N19">
        <v>97.73</v>
      </c>
      <c r="O19">
        <v>2</v>
      </c>
      <c r="P19">
        <v>1</v>
      </c>
      <c r="R19" s="3" t="s">
        <v>16</v>
      </c>
      <c r="S19" s="3"/>
      <c r="T19" s="3"/>
      <c r="U19" s="3"/>
      <c r="Z19" s="4" t="s">
        <v>93</v>
      </c>
      <c r="AA19" s="4">
        <v>6</v>
      </c>
      <c r="AB19" s="4">
        <v>3510</v>
      </c>
      <c r="AC19" s="4">
        <v>585</v>
      </c>
      <c r="AD19" s="4">
        <v>2992.8</v>
      </c>
    </row>
    <row r="20" spans="1:42" ht="15.75" thickBot="1" x14ac:dyDescent="0.3">
      <c r="A20">
        <v>19</v>
      </c>
      <c r="B20">
        <v>5555</v>
      </c>
      <c r="C20">
        <v>701</v>
      </c>
      <c r="D20" t="s">
        <v>33</v>
      </c>
      <c r="E20" t="s">
        <v>17</v>
      </c>
      <c r="F20">
        <v>849.82</v>
      </c>
      <c r="G20">
        <v>0.12</v>
      </c>
      <c r="H20" s="1">
        <v>45353.220833333333</v>
      </c>
      <c r="J20" t="s">
        <v>52</v>
      </c>
      <c r="K20">
        <v>52</v>
      </c>
      <c r="L20" t="s">
        <v>19</v>
      </c>
      <c r="M20" t="s">
        <v>30</v>
      </c>
      <c r="N20">
        <v>54.32</v>
      </c>
      <c r="O20">
        <v>4</v>
      </c>
      <c r="P20">
        <v>6</v>
      </c>
      <c r="R20" t="s">
        <v>66</v>
      </c>
      <c r="S20">
        <v>3</v>
      </c>
      <c r="T20">
        <v>3</v>
      </c>
      <c r="U20">
        <v>6</v>
      </c>
      <c r="AJ20" t="s">
        <v>73</v>
      </c>
    </row>
    <row r="21" spans="1:42" x14ac:dyDescent="0.25">
      <c r="A21">
        <v>20</v>
      </c>
      <c r="B21">
        <v>4385</v>
      </c>
      <c r="C21">
        <v>427</v>
      </c>
      <c r="D21" t="s">
        <v>31</v>
      </c>
      <c r="E21" t="s">
        <v>22</v>
      </c>
      <c r="F21">
        <v>886.69</v>
      </c>
      <c r="G21">
        <v>0.28000000000000003</v>
      </c>
      <c r="H21" s="1">
        <v>45431.556944444441</v>
      </c>
      <c r="J21" t="s">
        <v>53</v>
      </c>
      <c r="K21">
        <v>46</v>
      </c>
      <c r="L21" t="s">
        <v>24</v>
      </c>
      <c r="M21" t="s">
        <v>30</v>
      </c>
      <c r="N21">
        <v>57.35</v>
      </c>
      <c r="O21">
        <v>1</v>
      </c>
      <c r="P21">
        <v>4</v>
      </c>
      <c r="R21" t="s">
        <v>67</v>
      </c>
      <c r="S21">
        <v>498</v>
      </c>
      <c r="T21">
        <v>1737</v>
      </c>
      <c r="U21">
        <v>2235</v>
      </c>
      <c r="AJ21" s="5" t="s">
        <v>74</v>
      </c>
      <c r="AK21" s="5" t="s">
        <v>75</v>
      </c>
      <c r="AL21" s="5" t="s">
        <v>76</v>
      </c>
      <c r="AM21" s="5" t="s">
        <v>77</v>
      </c>
      <c r="AN21" s="5" t="s">
        <v>78</v>
      </c>
      <c r="AO21" s="5" t="s">
        <v>79</v>
      </c>
      <c r="AP21" s="5" t="s">
        <v>80</v>
      </c>
    </row>
    <row r="22" spans="1:42" ht="15.75" thickBot="1" x14ac:dyDescent="0.3">
      <c r="A22">
        <v>21</v>
      </c>
      <c r="B22">
        <v>7396</v>
      </c>
      <c r="C22">
        <v>150</v>
      </c>
      <c r="D22" t="s">
        <v>26</v>
      </c>
      <c r="E22" t="s">
        <v>36</v>
      </c>
      <c r="F22">
        <v>137.79</v>
      </c>
      <c r="G22">
        <v>0.04</v>
      </c>
      <c r="H22" s="1">
        <v>45425.419444444444</v>
      </c>
      <c r="J22" t="s">
        <v>54</v>
      </c>
      <c r="K22">
        <v>60</v>
      </c>
      <c r="L22" t="s">
        <v>35</v>
      </c>
      <c r="M22" t="s">
        <v>20</v>
      </c>
      <c r="N22">
        <v>41.08</v>
      </c>
      <c r="O22">
        <v>2</v>
      </c>
      <c r="P22">
        <v>3</v>
      </c>
      <c r="R22" t="s">
        <v>68</v>
      </c>
      <c r="S22">
        <v>166</v>
      </c>
      <c r="T22">
        <v>579</v>
      </c>
      <c r="U22">
        <v>372.5</v>
      </c>
      <c r="Z22" t="s">
        <v>73</v>
      </c>
      <c r="AJ22" t="s">
        <v>81</v>
      </c>
      <c r="AK22">
        <v>25179.58437499986</v>
      </c>
      <c r="AL22">
        <v>5</v>
      </c>
      <c r="AM22">
        <v>5035.9168749999717</v>
      </c>
      <c r="AN22">
        <v>6.423740140503853E-2</v>
      </c>
      <c r="AO22">
        <v>0.99574310411478084</v>
      </c>
      <c r="AP22">
        <v>4.3873741874061292</v>
      </c>
    </row>
    <row r="23" spans="1:42" x14ac:dyDescent="0.25">
      <c r="A23">
        <v>22</v>
      </c>
      <c r="B23">
        <v>9666</v>
      </c>
      <c r="C23">
        <v>797</v>
      </c>
      <c r="D23" t="s">
        <v>31</v>
      </c>
      <c r="E23" t="s">
        <v>50</v>
      </c>
      <c r="F23">
        <v>6.58</v>
      </c>
      <c r="G23">
        <v>0.04</v>
      </c>
      <c r="H23" s="1">
        <v>45387.868055555555</v>
      </c>
      <c r="J23" t="s">
        <v>55</v>
      </c>
      <c r="K23">
        <v>54</v>
      </c>
      <c r="L23" t="s">
        <v>19</v>
      </c>
      <c r="M23" t="s">
        <v>20</v>
      </c>
      <c r="N23">
        <v>88.02</v>
      </c>
      <c r="O23">
        <v>4</v>
      </c>
      <c r="P23">
        <v>4</v>
      </c>
      <c r="R23" t="s">
        <v>69</v>
      </c>
      <c r="S23">
        <v>5809</v>
      </c>
      <c r="T23">
        <v>4107</v>
      </c>
      <c r="U23">
        <v>55137.1</v>
      </c>
      <c r="Z23" s="5" t="s">
        <v>74</v>
      </c>
      <c r="AA23" s="5" t="s">
        <v>75</v>
      </c>
      <c r="AB23" s="5" t="s">
        <v>76</v>
      </c>
      <c r="AC23" s="5" t="s">
        <v>77</v>
      </c>
      <c r="AD23" s="5" t="s">
        <v>78</v>
      </c>
      <c r="AE23" s="5" t="s">
        <v>79</v>
      </c>
      <c r="AF23" s="5" t="s">
        <v>80</v>
      </c>
      <c r="AJ23" t="s">
        <v>82</v>
      </c>
      <c r="AK23">
        <v>470372.40905000002</v>
      </c>
      <c r="AL23">
        <v>6</v>
      </c>
      <c r="AM23">
        <v>78395.401508333336</v>
      </c>
    </row>
    <row r="24" spans="1:42" x14ac:dyDescent="0.25">
      <c r="A24">
        <v>23</v>
      </c>
      <c r="B24">
        <v>3558</v>
      </c>
      <c r="C24">
        <v>577</v>
      </c>
      <c r="D24" t="s">
        <v>26</v>
      </c>
      <c r="E24" t="s">
        <v>17</v>
      </c>
      <c r="F24">
        <v>888.2</v>
      </c>
      <c r="G24">
        <v>0.04</v>
      </c>
      <c r="H24" s="1">
        <v>45247.229166666664</v>
      </c>
      <c r="J24" t="s">
        <v>56</v>
      </c>
      <c r="K24">
        <v>29</v>
      </c>
      <c r="L24" t="s">
        <v>24</v>
      </c>
      <c r="M24" t="s">
        <v>20</v>
      </c>
      <c r="N24">
        <v>67.510000000000005</v>
      </c>
      <c r="O24">
        <v>3</v>
      </c>
      <c r="P24">
        <v>3</v>
      </c>
      <c r="Z24" t="s">
        <v>84</v>
      </c>
      <c r="AA24">
        <v>25179.58437499986</v>
      </c>
      <c r="AB24">
        <v>5</v>
      </c>
      <c r="AC24">
        <v>5035.9168749999717</v>
      </c>
      <c r="AD24">
        <v>4.5172430727939776</v>
      </c>
      <c r="AE24">
        <v>6.1757810504974704E-2</v>
      </c>
      <c r="AF24">
        <v>5.0503290576326485</v>
      </c>
    </row>
    <row r="25" spans="1:42" ht="15.75" thickBot="1" x14ac:dyDescent="0.3">
      <c r="A25">
        <v>24</v>
      </c>
      <c r="B25">
        <v>8849</v>
      </c>
      <c r="C25">
        <v>385</v>
      </c>
      <c r="D25" t="s">
        <v>26</v>
      </c>
      <c r="E25" t="s">
        <v>22</v>
      </c>
      <c r="F25">
        <v>109.35</v>
      </c>
      <c r="G25">
        <v>0.15</v>
      </c>
      <c r="H25" s="1">
        <v>45509.588194444441</v>
      </c>
      <c r="J25" t="s">
        <v>57</v>
      </c>
      <c r="K25">
        <v>45</v>
      </c>
      <c r="L25" t="s">
        <v>19</v>
      </c>
      <c r="M25" t="s">
        <v>25</v>
      </c>
      <c r="N25">
        <v>18.760000000000002</v>
      </c>
      <c r="O25">
        <v>4</v>
      </c>
      <c r="P25">
        <v>3</v>
      </c>
      <c r="R25" s="3" t="s">
        <v>83</v>
      </c>
      <c r="S25" s="3"/>
      <c r="T25" s="3"/>
      <c r="U25" s="3"/>
      <c r="Z25" t="s">
        <v>85</v>
      </c>
      <c r="AA25">
        <v>464798.3046749999</v>
      </c>
      <c r="AB25">
        <v>1</v>
      </c>
      <c r="AC25">
        <v>464798.3046749999</v>
      </c>
      <c r="AD25">
        <v>416.92644540316002</v>
      </c>
      <c r="AE25">
        <v>5.2126543846071327E-6</v>
      </c>
      <c r="AF25">
        <v>6.607890973703368</v>
      </c>
      <c r="AJ25" s="4" t="s">
        <v>83</v>
      </c>
      <c r="AK25" s="4">
        <v>495551.99342499988</v>
      </c>
      <c r="AL25" s="4">
        <v>11</v>
      </c>
      <c r="AM25" s="4"/>
      <c r="AN25" s="4"/>
      <c r="AO25" s="4"/>
      <c r="AP25" s="4"/>
    </row>
    <row r="26" spans="1:42" x14ac:dyDescent="0.25">
      <c r="A26">
        <v>25</v>
      </c>
      <c r="B26">
        <v>3047</v>
      </c>
      <c r="C26">
        <v>419</v>
      </c>
      <c r="D26" t="s">
        <v>31</v>
      </c>
      <c r="E26" t="s">
        <v>17</v>
      </c>
      <c r="F26">
        <v>144.08000000000001</v>
      </c>
      <c r="G26">
        <v>0.28000000000000003</v>
      </c>
      <c r="H26" s="1">
        <v>45346.051388888889</v>
      </c>
      <c r="J26" t="s">
        <v>58</v>
      </c>
      <c r="K26">
        <v>38</v>
      </c>
      <c r="L26" t="s">
        <v>35</v>
      </c>
      <c r="M26" t="s">
        <v>25</v>
      </c>
      <c r="N26">
        <v>33.4</v>
      </c>
      <c r="O26">
        <v>4</v>
      </c>
      <c r="P26">
        <v>4</v>
      </c>
      <c r="R26" t="s">
        <v>66</v>
      </c>
      <c r="S26">
        <v>6</v>
      </c>
      <c r="T26">
        <v>6</v>
      </c>
      <c r="Z26" t="s">
        <v>86</v>
      </c>
      <c r="AA26">
        <v>5574.1043750001118</v>
      </c>
      <c r="AB26">
        <v>5</v>
      </c>
      <c r="AC26">
        <v>1114.8208750000224</v>
      </c>
    </row>
    <row r="27" spans="1:42" x14ac:dyDescent="0.25">
      <c r="A27">
        <v>26</v>
      </c>
      <c r="B27">
        <v>3747</v>
      </c>
      <c r="C27">
        <v>733</v>
      </c>
      <c r="D27" t="s">
        <v>38</v>
      </c>
      <c r="E27" t="s">
        <v>28</v>
      </c>
      <c r="F27">
        <v>576.59</v>
      </c>
      <c r="G27">
        <v>0.2</v>
      </c>
      <c r="H27" s="1">
        <v>45355.387499999997</v>
      </c>
      <c r="J27" t="s">
        <v>59</v>
      </c>
      <c r="K27">
        <v>52</v>
      </c>
      <c r="L27" t="s">
        <v>35</v>
      </c>
      <c r="M27" t="s">
        <v>30</v>
      </c>
      <c r="N27">
        <v>21.91</v>
      </c>
      <c r="O27">
        <v>4</v>
      </c>
      <c r="P27">
        <v>5</v>
      </c>
      <c r="R27" t="s">
        <v>67</v>
      </c>
      <c r="S27">
        <v>1148.31</v>
      </c>
      <c r="T27">
        <v>3510</v>
      </c>
    </row>
    <row r="28" spans="1:42" ht="15.75" thickBot="1" x14ac:dyDescent="0.3">
      <c r="A28">
        <v>27</v>
      </c>
      <c r="B28">
        <v>1189</v>
      </c>
      <c r="C28">
        <v>278</v>
      </c>
      <c r="D28" t="s">
        <v>31</v>
      </c>
      <c r="E28" t="s">
        <v>50</v>
      </c>
      <c r="F28">
        <v>954.41</v>
      </c>
      <c r="G28">
        <v>0.11</v>
      </c>
      <c r="H28" s="1">
        <v>45225.3</v>
      </c>
      <c r="J28" t="s">
        <v>60</v>
      </c>
      <c r="K28">
        <v>66</v>
      </c>
      <c r="L28" t="s">
        <v>35</v>
      </c>
      <c r="M28" t="s">
        <v>30</v>
      </c>
      <c r="N28">
        <v>81.489999999999995</v>
      </c>
      <c r="O28">
        <v>3</v>
      </c>
      <c r="P28">
        <v>4</v>
      </c>
      <c r="R28" t="s">
        <v>68</v>
      </c>
      <c r="S28">
        <v>191.38499999999999</v>
      </c>
      <c r="T28">
        <v>585</v>
      </c>
      <c r="Z28" s="4" t="s">
        <v>83</v>
      </c>
      <c r="AA28" s="4">
        <v>495551.99342499988</v>
      </c>
      <c r="AB28" s="4">
        <v>11</v>
      </c>
      <c r="AC28" s="4"/>
      <c r="AD28" s="4"/>
      <c r="AE28" s="4"/>
      <c r="AF28" s="4"/>
    </row>
    <row r="29" spans="1:42" x14ac:dyDescent="0.25">
      <c r="A29">
        <v>28</v>
      </c>
      <c r="B29">
        <v>3734</v>
      </c>
      <c r="C29">
        <v>231</v>
      </c>
      <c r="D29" t="s">
        <v>45</v>
      </c>
      <c r="E29" t="s">
        <v>36</v>
      </c>
      <c r="F29">
        <v>513.82000000000005</v>
      </c>
      <c r="G29">
        <v>0.05</v>
      </c>
      <c r="H29" s="1">
        <v>45508.527083333334</v>
      </c>
      <c r="J29" t="s">
        <v>61</v>
      </c>
      <c r="K29">
        <v>34</v>
      </c>
      <c r="L29" t="s">
        <v>35</v>
      </c>
      <c r="M29" t="s">
        <v>30</v>
      </c>
      <c r="N29">
        <v>77.27</v>
      </c>
      <c r="O29">
        <v>3</v>
      </c>
      <c r="P29">
        <v>0</v>
      </c>
      <c r="R29" t="s">
        <v>69</v>
      </c>
      <c r="S29">
        <v>3157.9377500000001</v>
      </c>
      <c r="T29">
        <v>2992.8</v>
      </c>
    </row>
    <row r="30" spans="1:42" x14ac:dyDescent="0.25">
      <c r="A30">
        <v>29</v>
      </c>
      <c r="B30">
        <v>4005</v>
      </c>
      <c r="C30">
        <v>699</v>
      </c>
      <c r="D30" t="s">
        <v>38</v>
      </c>
      <c r="E30" t="s">
        <v>36</v>
      </c>
      <c r="F30">
        <v>767.89</v>
      </c>
      <c r="G30">
        <v>0.11</v>
      </c>
      <c r="H30" s="1">
        <v>45418.068749999999</v>
      </c>
      <c r="J30" t="s">
        <v>62</v>
      </c>
      <c r="K30">
        <v>52</v>
      </c>
      <c r="L30" t="s">
        <v>24</v>
      </c>
      <c r="M30" t="s">
        <v>25</v>
      </c>
      <c r="N30">
        <v>26.78</v>
      </c>
      <c r="O30">
        <v>1</v>
      </c>
      <c r="P30">
        <v>5</v>
      </c>
    </row>
    <row r="31" spans="1:42" x14ac:dyDescent="0.25">
      <c r="A31">
        <v>30</v>
      </c>
      <c r="B31">
        <v>5658</v>
      </c>
      <c r="C31">
        <v>829</v>
      </c>
      <c r="D31" t="s">
        <v>21</v>
      </c>
      <c r="E31" t="s">
        <v>17</v>
      </c>
      <c r="F31">
        <v>653.79</v>
      </c>
      <c r="G31">
        <v>0.01</v>
      </c>
      <c r="H31" s="1">
        <v>45222.481944444444</v>
      </c>
      <c r="J31" t="s">
        <v>63</v>
      </c>
      <c r="K31">
        <v>68</v>
      </c>
      <c r="L31" t="s">
        <v>19</v>
      </c>
      <c r="M31" t="s">
        <v>30</v>
      </c>
      <c r="N31">
        <v>39.340000000000003</v>
      </c>
      <c r="O31">
        <v>4</v>
      </c>
      <c r="P31">
        <v>2</v>
      </c>
    </row>
    <row r="32" spans="1:42" ht="15.75" thickBot="1" x14ac:dyDescent="0.3">
      <c r="R32" t="s">
        <v>73</v>
      </c>
    </row>
    <row r="33" spans="2:24" x14ac:dyDescent="0.25">
      <c r="R33" s="5" t="s">
        <v>74</v>
      </c>
      <c r="S33" s="5" t="s">
        <v>75</v>
      </c>
      <c r="T33" s="5" t="s">
        <v>76</v>
      </c>
      <c r="U33" s="5" t="s">
        <v>77</v>
      </c>
      <c r="V33" s="5" t="s">
        <v>78</v>
      </c>
      <c r="W33" s="5" t="s">
        <v>79</v>
      </c>
      <c r="X33" s="5" t="s">
        <v>80</v>
      </c>
    </row>
    <row r="34" spans="2:24" x14ac:dyDescent="0.25">
      <c r="G34">
        <f>AVERAGE(Table3[Discount])</f>
        <v>0.14533333333333334</v>
      </c>
      <c r="R34" t="s">
        <v>89</v>
      </c>
      <c r="S34">
        <v>2955.0546749999048</v>
      </c>
      <c r="T34">
        <v>1</v>
      </c>
      <c r="U34">
        <v>2955.0546749999048</v>
      </c>
      <c r="V34">
        <v>0.88636241697317675</v>
      </c>
      <c r="W34">
        <v>0.37402078260433069</v>
      </c>
      <c r="X34">
        <v>5.3176550715787174</v>
      </c>
    </row>
    <row r="35" spans="2:24" x14ac:dyDescent="0.25">
      <c r="G35">
        <f>G34*100</f>
        <v>14.533333333333335</v>
      </c>
      <c r="R35" t="s">
        <v>85</v>
      </c>
      <c r="S35">
        <v>464798.3046749999</v>
      </c>
      <c r="T35">
        <v>1</v>
      </c>
      <c r="U35">
        <v>464798.3046749999</v>
      </c>
      <c r="V35">
        <v>139.41527113598369</v>
      </c>
      <c r="W35">
        <v>2.4249352800964927E-6</v>
      </c>
      <c r="X35">
        <v>5.3176550715787174</v>
      </c>
    </row>
    <row r="36" spans="2:24" x14ac:dyDescent="0.25">
      <c r="G36">
        <f>AVERAGE(Table3[Price])</f>
        <v>437.18566666666663</v>
      </c>
      <c r="R36" t="s">
        <v>90</v>
      </c>
      <c r="S36">
        <v>1127.3346750000674</v>
      </c>
      <c r="T36">
        <v>1</v>
      </c>
      <c r="U36">
        <v>1127.3346750000674</v>
      </c>
      <c r="V36">
        <v>0.33814165799513085</v>
      </c>
      <c r="W36">
        <v>0.57691697340250958</v>
      </c>
      <c r="X36">
        <v>5.3176550715787174</v>
      </c>
    </row>
    <row r="37" spans="2:24" x14ac:dyDescent="0.25">
      <c r="G37">
        <f>ROUND(G36,2)</f>
        <v>437.19</v>
      </c>
      <c r="R37" t="s">
        <v>91</v>
      </c>
      <c r="S37">
        <v>26671.2994</v>
      </c>
      <c r="T37">
        <v>8</v>
      </c>
      <c r="U37">
        <v>3333.912425</v>
      </c>
    </row>
    <row r="39" spans="2:24" ht="15.75" thickBot="1" x14ac:dyDescent="0.3">
      <c r="R39" s="4" t="s">
        <v>83</v>
      </c>
      <c r="S39" s="4">
        <v>495551.99342499988</v>
      </c>
      <c r="T39" s="4">
        <v>11</v>
      </c>
      <c r="U39" s="4"/>
      <c r="V39" s="4"/>
      <c r="W39" s="4"/>
      <c r="X39" s="4"/>
    </row>
    <row r="43" spans="2:24" x14ac:dyDescent="0.25">
      <c r="M43" s="6" t="s">
        <v>99</v>
      </c>
      <c r="N43" s="6" t="s">
        <v>98</v>
      </c>
    </row>
    <row r="44" spans="2:24" x14ac:dyDescent="0.25">
      <c r="M44" s="6" t="s">
        <v>96</v>
      </c>
      <c r="N44" t="s">
        <v>28</v>
      </c>
      <c r="O44" t="s">
        <v>17</v>
      </c>
      <c r="P44" t="s">
        <v>36</v>
      </c>
      <c r="Q44" t="s">
        <v>22</v>
      </c>
      <c r="R44" t="s">
        <v>50</v>
      </c>
      <c r="S44" t="s">
        <v>97</v>
      </c>
    </row>
    <row r="45" spans="2:24" x14ac:dyDescent="0.25">
      <c r="M45" s="7" t="s">
        <v>19</v>
      </c>
      <c r="N45" s="9">
        <v>157.02000000000001</v>
      </c>
      <c r="O45" s="9">
        <v>3229.66</v>
      </c>
      <c r="P45" s="9"/>
      <c r="Q45" s="9">
        <v>654.34</v>
      </c>
      <c r="R45" s="9">
        <v>6.58</v>
      </c>
      <c r="S45" s="9">
        <v>4047.6</v>
      </c>
    </row>
    <row r="46" spans="2:24" x14ac:dyDescent="0.25">
      <c r="B46" s="6" t="s">
        <v>99</v>
      </c>
      <c r="C46" s="6" t="s">
        <v>98</v>
      </c>
      <c r="M46" s="7" t="s">
        <v>35</v>
      </c>
      <c r="N46" s="9">
        <v>802.24</v>
      </c>
      <c r="O46" s="9">
        <v>346.74</v>
      </c>
      <c r="P46" s="9">
        <v>1283.5700000000002</v>
      </c>
      <c r="Q46" s="9">
        <v>559.1</v>
      </c>
      <c r="R46" s="9">
        <v>954.41</v>
      </c>
      <c r="S46" s="9">
        <v>3946.06</v>
      </c>
    </row>
    <row r="47" spans="2:24" x14ac:dyDescent="0.25">
      <c r="B47" s="6" t="s">
        <v>96</v>
      </c>
      <c r="C47" t="s">
        <v>21</v>
      </c>
      <c r="D47" t="s">
        <v>33</v>
      </c>
      <c r="E47" t="s">
        <v>16</v>
      </c>
      <c r="F47" t="s">
        <v>31</v>
      </c>
      <c r="G47" t="s">
        <v>45</v>
      </c>
      <c r="H47" t="s">
        <v>38</v>
      </c>
      <c r="I47" t="s">
        <v>26</v>
      </c>
      <c r="J47" t="s">
        <v>97</v>
      </c>
      <c r="M47" s="7" t="s">
        <v>24</v>
      </c>
      <c r="N47" s="9">
        <v>975.65</v>
      </c>
      <c r="O47" s="9">
        <v>1263.52</v>
      </c>
      <c r="P47" s="9">
        <v>1176.44</v>
      </c>
      <c r="Q47" s="9">
        <v>1267.23</v>
      </c>
      <c r="R47" s="9">
        <v>439.07</v>
      </c>
      <c r="S47" s="9">
        <v>5121.91</v>
      </c>
    </row>
    <row r="48" spans="2:24" x14ac:dyDescent="0.25">
      <c r="B48" s="7" t="s">
        <v>19</v>
      </c>
      <c r="C48">
        <v>810.81</v>
      </c>
      <c r="D48">
        <v>849.82</v>
      </c>
      <c r="E48">
        <v>801.66</v>
      </c>
      <c r="F48">
        <v>6.58</v>
      </c>
      <c r="H48">
        <v>522.87</v>
      </c>
      <c r="I48">
        <v>1055.8599999999999</v>
      </c>
      <c r="J48">
        <v>4047.5999999999995</v>
      </c>
      <c r="M48" s="7" t="s">
        <v>97</v>
      </c>
      <c r="N48" s="9">
        <v>1934.9099999999999</v>
      </c>
      <c r="O48" s="9">
        <v>4839.92</v>
      </c>
      <c r="P48" s="9">
        <v>2460.0100000000002</v>
      </c>
      <c r="Q48" s="9">
        <v>2480.67</v>
      </c>
      <c r="R48" s="9">
        <v>1400.06</v>
      </c>
      <c r="S48" s="9">
        <v>13115.57</v>
      </c>
    </row>
    <row r="49" spans="2:17" x14ac:dyDescent="0.25">
      <c r="B49" s="7" t="s">
        <v>35</v>
      </c>
      <c r="C49">
        <v>631.96</v>
      </c>
      <c r="D49">
        <v>428.31</v>
      </c>
      <c r="F49">
        <v>1098.49</v>
      </c>
      <c r="G49">
        <v>1072.92</v>
      </c>
      <c r="H49">
        <v>576.59</v>
      </c>
      <c r="I49">
        <v>137.79</v>
      </c>
      <c r="J49">
        <v>3946.0600000000004</v>
      </c>
    </row>
    <row r="50" spans="2:17" x14ac:dyDescent="0.25">
      <c r="B50" s="7" t="s">
        <v>24</v>
      </c>
      <c r="C50">
        <v>443.71000000000004</v>
      </c>
      <c r="E50">
        <v>785.38</v>
      </c>
      <c r="F50">
        <v>1232.0700000000002</v>
      </c>
      <c r="H50">
        <v>1202.04</v>
      </c>
      <c r="I50">
        <v>1458.71</v>
      </c>
      <c r="J50">
        <v>5121.91</v>
      </c>
    </row>
    <row r="51" spans="2:17" x14ac:dyDescent="0.25">
      <c r="B51" s="7" t="s">
        <v>97</v>
      </c>
      <c r="C51">
        <v>1886.48</v>
      </c>
      <c r="D51">
        <v>1278.1300000000001</v>
      </c>
      <c r="E51">
        <v>1587.04</v>
      </c>
      <c r="F51">
        <v>2337.1400000000003</v>
      </c>
      <c r="G51">
        <v>1072.92</v>
      </c>
      <c r="H51">
        <v>2301.5</v>
      </c>
      <c r="I51">
        <v>2652.3599999999997</v>
      </c>
      <c r="J51">
        <v>13115.57</v>
      </c>
    </row>
    <row r="52" spans="2:17" x14ac:dyDescent="0.25">
      <c r="P52" s="6" t="s">
        <v>96</v>
      </c>
      <c r="Q52" t="s">
        <v>99</v>
      </c>
    </row>
    <row r="53" spans="2:17" x14ac:dyDescent="0.25">
      <c r="P53" s="7" t="s">
        <v>28</v>
      </c>
      <c r="Q53">
        <v>1934.9099999999999</v>
      </c>
    </row>
    <row r="54" spans="2:17" x14ac:dyDescent="0.25">
      <c r="P54" s="7" t="s">
        <v>17</v>
      </c>
      <c r="Q54">
        <v>4839.92</v>
      </c>
    </row>
    <row r="55" spans="2:17" x14ac:dyDescent="0.25">
      <c r="P55" s="7" t="s">
        <v>36</v>
      </c>
      <c r="Q55">
        <v>2460.0099999999998</v>
      </c>
    </row>
    <row r="56" spans="2:17" x14ac:dyDescent="0.25">
      <c r="P56" s="7" t="s">
        <v>22</v>
      </c>
      <c r="Q56">
        <v>2480.67</v>
      </c>
    </row>
    <row r="57" spans="2:17" x14ac:dyDescent="0.25">
      <c r="P57" s="7" t="s">
        <v>50</v>
      </c>
      <c r="Q57">
        <v>1400.06</v>
      </c>
    </row>
    <row r="58" spans="2:17" x14ac:dyDescent="0.25">
      <c r="P58" s="7" t="s">
        <v>97</v>
      </c>
      <c r="Q58">
        <v>13115.57</v>
      </c>
    </row>
  </sheetData>
  <pageMargins left="0.7" right="0.7" top="0.75" bottom="0.75" header="0.3" footer="0.3"/>
  <drawing r:id="rId4"/>
  <tableParts count="3">
    <tablePart r:id="rId5"/>
    <tablePart r:id="rId6"/>
    <tablePart r:id="rId7"/>
  </tableParts>
  <extLst>
    <ext xmlns:x14="http://schemas.microsoft.com/office/spreadsheetml/2009/9/main" uri="{A8765BA9-456A-4dab-B4F3-ACF838C121DE}">
      <x14:slicerList>
        <x14:slicer r:id="rId8"/>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C96F00-D091-4E5C-9934-B6FC55342F7C}">
  <dimension ref="A1:CR247"/>
  <sheetViews>
    <sheetView showGridLines="0" showRowColHeaders="0" tabSelected="1" workbookViewId="0">
      <selection activeCell="X5" sqref="X5"/>
    </sheetView>
  </sheetViews>
  <sheetFormatPr defaultRowHeight="15" x14ac:dyDescent="0.25"/>
  <sheetData>
    <row r="1" spans="1:96" x14ac:dyDescent="0.25">
      <c r="A1" s="8"/>
      <c r="B1" s="8"/>
      <c r="C1" s="8"/>
      <c r="D1" s="8"/>
      <c r="E1" s="8"/>
      <c r="F1" s="8"/>
      <c r="G1" s="8"/>
      <c r="H1" s="8"/>
      <c r="I1" s="8"/>
      <c r="J1" s="8"/>
      <c r="K1" s="8"/>
      <c r="L1" s="8"/>
      <c r="M1" s="8"/>
      <c r="N1" s="8"/>
      <c r="O1" s="8"/>
      <c r="P1" s="8"/>
      <c r="Q1" s="8"/>
      <c r="R1" s="8"/>
      <c r="S1" s="8"/>
      <c r="T1" s="8"/>
      <c r="U1" s="8"/>
      <c r="V1" s="8"/>
      <c r="W1" s="8"/>
      <c r="X1" s="8"/>
      <c r="Y1" s="8"/>
      <c r="Z1" s="8"/>
      <c r="AA1" s="8"/>
      <c r="AB1" s="8"/>
      <c r="AC1" s="8"/>
      <c r="AD1" s="8"/>
      <c r="AE1" s="8"/>
      <c r="AF1" s="8"/>
      <c r="AG1" s="8"/>
      <c r="AH1" s="8"/>
      <c r="AI1" s="8"/>
      <c r="AJ1" s="8"/>
      <c r="AK1" s="8"/>
      <c r="AL1" s="8"/>
      <c r="AM1" s="8"/>
      <c r="AN1" s="8"/>
      <c r="AO1" s="8"/>
      <c r="AP1" s="8"/>
      <c r="AQ1" s="8"/>
      <c r="AR1" s="8"/>
      <c r="AS1" s="8"/>
      <c r="AT1" s="8"/>
      <c r="AU1" s="8"/>
      <c r="AV1" s="8"/>
      <c r="AW1" s="8"/>
      <c r="AX1" s="8"/>
      <c r="AY1" s="8"/>
      <c r="AZ1" s="8"/>
      <c r="BA1" s="8"/>
      <c r="BB1" s="8"/>
      <c r="BC1" s="8"/>
      <c r="BD1" s="8"/>
      <c r="BE1" s="8"/>
      <c r="BF1" s="8"/>
      <c r="BG1" s="8"/>
      <c r="BH1" s="8"/>
      <c r="BI1" s="8"/>
      <c r="BJ1" s="8"/>
      <c r="BK1" s="8"/>
      <c r="BL1" s="8"/>
      <c r="BM1" s="8"/>
      <c r="BN1" s="8"/>
      <c r="BO1" s="8"/>
      <c r="BP1" s="8"/>
      <c r="BQ1" s="8"/>
      <c r="BR1" s="8"/>
      <c r="BS1" s="8"/>
      <c r="BT1" s="8"/>
      <c r="BU1" s="8"/>
      <c r="BV1" s="8"/>
      <c r="BW1" s="8"/>
      <c r="BX1" s="8"/>
      <c r="BY1" s="8"/>
      <c r="BZ1" s="8"/>
      <c r="CA1" s="8"/>
      <c r="CB1" s="8"/>
      <c r="CC1" s="8"/>
      <c r="CD1" s="8"/>
      <c r="CE1" s="8"/>
      <c r="CF1" s="8"/>
      <c r="CG1" s="8"/>
      <c r="CH1" s="8"/>
      <c r="CI1" s="8"/>
      <c r="CJ1" s="8"/>
      <c r="CK1" s="8"/>
      <c r="CL1" s="8"/>
      <c r="CM1" s="8"/>
      <c r="CN1" s="8"/>
      <c r="CO1" s="8"/>
      <c r="CP1" s="8"/>
      <c r="CQ1" s="8"/>
      <c r="CR1" s="8"/>
    </row>
    <row r="2" spans="1:96" x14ac:dyDescent="0.25">
      <c r="A2" s="8"/>
      <c r="B2" s="8"/>
      <c r="C2" s="8"/>
      <c r="D2" s="8"/>
      <c r="E2" s="8"/>
      <c r="F2" s="8"/>
      <c r="G2" s="8"/>
      <c r="H2" s="8"/>
      <c r="I2" s="8"/>
      <c r="J2" s="8"/>
      <c r="K2" s="8"/>
      <c r="L2" s="8"/>
      <c r="M2" s="8"/>
      <c r="N2" s="8"/>
      <c r="O2" s="8"/>
      <c r="P2" s="8"/>
      <c r="Q2" s="8"/>
      <c r="R2" s="8"/>
      <c r="S2" s="8"/>
      <c r="T2" s="8"/>
      <c r="U2" s="8"/>
      <c r="V2" s="8"/>
      <c r="W2" s="8"/>
      <c r="X2" s="8"/>
      <c r="Y2" s="8"/>
      <c r="Z2" s="8"/>
      <c r="AA2" s="8"/>
      <c r="AB2" s="8"/>
      <c r="AC2" s="8"/>
      <c r="AD2" s="8"/>
      <c r="AE2" s="8"/>
      <c r="AF2" s="8"/>
      <c r="AG2" s="8"/>
      <c r="AH2" s="8"/>
      <c r="AI2" s="8"/>
      <c r="AJ2" s="8"/>
      <c r="AK2" s="8"/>
      <c r="AL2" s="8"/>
      <c r="AM2" s="8"/>
      <c r="AN2" s="8"/>
      <c r="AO2" s="8"/>
      <c r="AP2" s="8"/>
      <c r="AQ2" s="8"/>
      <c r="AR2" s="8"/>
      <c r="AS2" s="8"/>
      <c r="AT2" s="8"/>
      <c r="AU2" s="8"/>
      <c r="AV2" s="8"/>
      <c r="AW2" s="8"/>
      <c r="AX2" s="8"/>
      <c r="AY2" s="8"/>
      <c r="AZ2" s="8"/>
      <c r="BA2" s="8"/>
      <c r="BB2" s="8"/>
      <c r="BC2" s="8"/>
      <c r="BD2" s="8"/>
      <c r="BE2" s="8"/>
      <c r="BF2" s="8"/>
      <c r="BG2" s="8"/>
      <c r="BH2" s="8"/>
      <c r="BI2" s="8"/>
      <c r="BJ2" s="8"/>
      <c r="BK2" s="8"/>
      <c r="BL2" s="8"/>
      <c r="BM2" s="8"/>
      <c r="BN2" s="8"/>
      <c r="BO2" s="8"/>
      <c r="BP2" s="8"/>
      <c r="BQ2" s="8"/>
      <c r="BR2" s="8"/>
      <c r="BS2" s="8"/>
      <c r="BT2" s="8"/>
      <c r="BU2" s="8"/>
      <c r="BV2" s="8"/>
      <c r="BW2" s="8"/>
      <c r="BX2" s="8"/>
      <c r="BY2" s="8"/>
      <c r="BZ2" s="8"/>
      <c r="CA2" s="8"/>
      <c r="CB2" s="8"/>
      <c r="CC2" s="8"/>
      <c r="CD2" s="8"/>
      <c r="CE2" s="8"/>
      <c r="CF2" s="8"/>
      <c r="CG2" s="8"/>
      <c r="CH2" s="8"/>
      <c r="CI2" s="8"/>
      <c r="CJ2" s="8"/>
      <c r="CK2" s="8"/>
      <c r="CL2" s="8"/>
      <c r="CM2" s="8"/>
      <c r="CN2" s="8"/>
      <c r="CO2" s="8"/>
      <c r="CP2" s="8"/>
      <c r="CQ2" s="8"/>
      <c r="CR2" s="8"/>
    </row>
    <row r="3" spans="1:96" x14ac:dyDescent="0.25">
      <c r="A3" s="8"/>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c r="BJ3" s="8"/>
      <c r="BK3" s="8"/>
      <c r="BL3" s="8"/>
      <c r="BM3" s="8"/>
      <c r="BN3" s="8"/>
      <c r="BO3" s="8"/>
      <c r="BP3" s="8"/>
      <c r="BQ3" s="8"/>
      <c r="BR3" s="8"/>
      <c r="BS3" s="8"/>
      <c r="BT3" s="8"/>
      <c r="BU3" s="8"/>
      <c r="BV3" s="8"/>
      <c r="BW3" s="8"/>
      <c r="BX3" s="8"/>
      <c r="BY3" s="8"/>
      <c r="BZ3" s="8"/>
      <c r="CA3" s="8"/>
      <c r="CB3" s="8"/>
      <c r="CC3" s="8"/>
      <c r="CD3" s="8"/>
      <c r="CE3" s="8"/>
      <c r="CF3" s="8"/>
      <c r="CG3" s="8"/>
      <c r="CH3" s="8"/>
      <c r="CI3" s="8"/>
      <c r="CJ3" s="8"/>
      <c r="CK3" s="8"/>
      <c r="CL3" s="8"/>
      <c r="CM3" s="8"/>
      <c r="CN3" s="8"/>
      <c r="CO3" s="8"/>
      <c r="CP3" s="8"/>
      <c r="CQ3" s="8"/>
      <c r="CR3" s="8"/>
    </row>
    <row r="4" spans="1:96"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8"/>
      <c r="BB4" s="8"/>
      <c r="BC4" s="8"/>
      <c r="BD4" s="8"/>
      <c r="BE4" s="8"/>
      <c r="BF4" s="8"/>
      <c r="BG4" s="8"/>
      <c r="BH4" s="8"/>
      <c r="BI4" s="8"/>
      <c r="BJ4" s="8"/>
      <c r="BK4" s="8"/>
      <c r="BL4" s="8"/>
      <c r="BM4" s="8"/>
      <c r="BN4" s="8"/>
      <c r="BO4" s="8"/>
      <c r="BP4" s="8"/>
      <c r="BQ4" s="8"/>
      <c r="BR4" s="8"/>
      <c r="BS4" s="8"/>
      <c r="BT4" s="8"/>
      <c r="BU4" s="8"/>
      <c r="BV4" s="8"/>
      <c r="BW4" s="8"/>
      <c r="BX4" s="8"/>
      <c r="BY4" s="8"/>
      <c r="BZ4" s="8"/>
      <c r="CA4" s="8"/>
      <c r="CB4" s="8"/>
      <c r="CC4" s="8"/>
      <c r="CD4" s="8"/>
      <c r="CE4" s="8"/>
      <c r="CF4" s="8"/>
      <c r="CG4" s="8"/>
      <c r="CH4" s="8"/>
      <c r="CI4" s="8"/>
      <c r="CJ4" s="8"/>
      <c r="CK4" s="8"/>
      <c r="CL4" s="8"/>
      <c r="CM4" s="8"/>
      <c r="CN4" s="8"/>
      <c r="CO4" s="8"/>
      <c r="CP4" s="8"/>
      <c r="CQ4" s="8"/>
      <c r="CR4" s="8"/>
    </row>
    <row r="5" spans="1:96"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c r="AN5" s="8"/>
      <c r="AO5" s="8"/>
      <c r="AP5" s="8"/>
      <c r="AQ5" s="8"/>
      <c r="AR5" s="8"/>
      <c r="AS5" s="8"/>
      <c r="AT5" s="8"/>
      <c r="AU5" s="8"/>
      <c r="AV5" s="8"/>
      <c r="AW5" s="8"/>
      <c r="AX5" s="8"/>
      <c r="AY5" s="8"/>
      <c r="AZ5" s="8"/>
      <c r="BA5" s="8"/>
      <c r="BB5" s="8"/>
      <c r="BC5" s="8"/>
      <c r="BD5" s="8"/>
      <c r="BE5" s="8"/>
      <c r="BF5" s="8"/>
      <c r="BG5" s="8"/>
      <c r="BH5" s="8"/>
      <c r="BI5" s="8"/>
      <c r="BJ5" s="8"/>
      <c r="BK5" s="8"/>
      <c r="BL5" s="8"/>
      <c r="BM5" s="8"/>
      <c r="BN5" s="8"/>
      <c r="BO5" s="8"/>
      <c r="BP5" s="8"/>
      <c r="BQ5" s="8"/>
      <c r="BR5" s="8"/>
      <c r="BS5" s="8"/>
      <c r="BT5" s="8"/>
      <c r="BU5" s="8"/>
      <c r="BV5" s="8"/>
      <c r="BW5" s="8"/>
      <c r="BX5" s="8"/>
      <c r="BY5" s="8"/>
      <c r="BZ5" s="8"/>
      <c r="CA5" s="8"/>
      <c r="CB5" s="8"/>
      <c r="CC5" s="8"/>
      <c r="CD5" s="8"/>
      <c r="CE5" s="8"/>
      <c r="CF5" s="8"/>
      <c r="CG5" s="8"/>
      <c r="CH5" s="8"/>
      <c r="CI5" s="8"/>
      <c r="CJ5" s="8"/>
      <c r="CK5" s="8"/>
      <c r="CL5" s="8"/>
      <c r="CM5" s="8"/>
      <c r="CN5" s="8"/>
      <c r="CO5" s="8"/>
      <c r="CP5" s="8"/>
      <c r="CQ5" s="8"/>
      <c r="CR5" s="8"/>
    </row>
    <row r="6" spans="1:96" x14ac:dyDescent="0.25">
      <c r="A6" s="8"/>
      <c r="B6" s="8"/>
      <c r="C6" s="8"/>
      <c r="D6" s="8"/>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8"/>
      <c r="BO6" s="8"/>
      <c r="BP6" s="8"/>
      <c r="BQ6" s="8"/>
      <c r="BR6" s="8"/>
      <c r="BS6" s="8"/>
      <c r="BT6" s="8"/>
      <c r="BU6" s="8"/>
      <c r="BV6" s="8"/>
      <c r="BW6" s="8"/>
      <c r="BX6" s="8"/>
      <c r="BY6" s="8"/>
      <c r="BZ6" s="8"/>
      <c r="CA6" s="8"/>
      <c r="CB6" s="8"/>
      <c r="CC6" s="8"/>
      <c r="CD6" s="8"/>
      <c r="CE6" s="8"/>
      <c r="CF6" s="8"/>
      <c r="CG6" s="8"/>
      <c r="CH6" s="8"/>
      <c r="CI6" s="8"/>
      <c r="CJ6" s="8"/>
      <c r="CK6" s="8"/>
      <c r="CL6" s="8"/>
      <c r="CM6" s="8"/>
      <c r="CN6" s="8"/>
      <c r="CO6" s="8"/>
      <c r="CP6" s="8"/>
      <c r="CQ6" s="8"/>
      <c r="CR6" s="8"/>
    </row>
    <row r="7" spans="1:96" x14ac:dyDescent="0.25">
      <c r="A7" s="8"/>
      <c r="B7" s="8"/>
      <c r="C7" s="8"/>
      <c r="D7" s="8"/>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8"/>
      <c r="BA7" s="8"/>
      <c r="BB7" s="8"/>
      <c r="BC7" s="8"/>
      <c r="BD7" s="8"/>
      <c r="BE7" s="8"/>
      <c r="BF7" s="8"/>
      <c r="BG7" s="8"/>
      <c r="BH7" s="8"/>
      <c r="BI7" s="8"/>
      <c r="BJ7" s="8"/>
      <c r="BK7" s="8"/>
      <c r="BL7" s="8"/>
      <c r="BM7" s="8"/>
      <c r="BN7" s="8"/>
      <c r="BO7" s="8"/>
      <c r="BP7" s="8"/>
      <c r="BQ7" s="8"/>
      <c r="BR7" s="8"/>
      <c r="BS7" s="8"/>
      <c r="BT7" s="8"/>
      <c r="BU7" s="8"/>
      <c r="BV7" s="8"/>
      <c r="BW7" s="8"/>
      <c r="BX7" s="8"/>
      <c r="BY7" s="8"/>
      <c r="BZ7" s="8"/>
      <c r="CA7" s="8"/>
      <c r="CB7" s="8"/>
      <c r="CC7" s="8"/>
      <c r="CD7" s="8"/>
      <c r="CE7" s="8"/>
      <c r="CF7" s="8"/>
      <c r="CG7" s="8"/>
      <c r="CH7" s="8"/>
      <c r="CI7" s="8"/>
      <c r="CJ7" s="8"/>
      <c r="CK7" s="8"/>
      <c r="CL7" s="8"/>
      <c r="CM7" s="8"/>
      <c r="CN7" s="8"/>
      <c r="CO7" s="8"/>
      <c r="CP7" s="8"/>
      <c r="CQ7" s="8"/>
      <c r="CR7" s="8"/>
    </row>
    <row r="8" spans="1:96" x14ac:dyDescent="0.25">
      <c r="A8" s="8"/>
      <c r="B8" s="8"/>
      <c r="C8" s="8"/>
      <c r="D8" s="8"/>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c r="AK8" s="8"/>
      <c r="AL8" s="8"/>
      <c r="AM8" s="8"/>
      <c r="AN8" s="8"/>
      <c r="AO8" s="8"/>
      <c r="AP8" s="8"/>
      <c r="AQ8" s="8"/>
      <c r="AR8" s="8"/>
      <c r="AS8" s="8"/>
      <c r="AT8" s="8"/>
      <c r="AU8" s="8"/>
      <c r="AV8" s="8"/>
      <c r="AW8" s="8"/>
      <c r="AX8" s="8"/>
      <c r="AY8" s="8"/>
      <c r="AZ8" s="8"/>
      <c r="BA8" s="8"/>
      <c r="BB8" s="8"/>
      <c r="BC8" s="8"/>
      <c r="BD8" s="8"/>
      <c r="BE8" s="8"/>
      <c r="BF8" s="8"/>
      <c r="BG8" s="8"/>
      <c r="BH8" s="8"/>
      <c r="BI8" s="8"/>
      <c r="BJ8" s="8"/>
      <c r="BK8" s="8"/>
      <c r="BL8" s="8"/>
      <c r="BM8" s="8"/>
      <c r="BN8" s="8"/>
      <c r="BO8" s="8"/>
      <c r="BP8" s="8"/>
      <c r="BQ8" s="8"/>
      <c r="BR8" s="8"/>
      <c r="BS8" s="8"/>
      <c r="BT8" s="8"/>
      <c r="BU8" s="8"/>
      <c r="BV8" s="8"/>
      <c r="BW8" s="8"/>
      <c r="BX8" s="8"/>
      <c r="BY8" s="8"/>
      <c r="BZ8" s="8"/>
      <c r="CA8" s="8"/>
      <c r="CB8" s="8"/>
      <c r="CC8" s="8"/>
      <c r="CD8" s="8"/>
      <c r="CE8" s="8"/>
      <c r="CF8" s="8"/>
      <c r="CG8" s="8"/>
      <c r="CH8" s="8"/>
      <c r="CI8" s="8"/>
      <c r="CJ8" s="8"/>
      <c r="CK8" s="8"/>
      <c r="CL8" s="8"/>
      <c r="CM8" s="8"/>
      <c r="CN8" s="8"/>
      <c r="CO8" s="8"/>
      <c r="CP8" s="8"/>
      <c r="CQ8" s="8"/>
      <c r="CR8" s="8"/>
    </row>
    <row r="9" spans="1:96" x14ac:dyDescent="0.25">
      <c r="A9" s="8"/>
      <c r="B9" s="8"/>
      <c r="C9" s="8"/>
      <c r="D9" s="8"/>
      <c r="E9" s="8"/>
      <c r="F9" s="8"/>
      <c r="G9" s="8"/>
      <c r="H9" s="8"/>
      <c r="I9" s="8"/>
      <c r="J9" s="8"/>
      <c r="K9" s="8"/>
      <c r="L9" s="8"/>
      <c r="M9" s="8"/>
      <c r="N9" s="8"/>
      <c r="O9" s="8"/>
      <c r="P9" s="8"/>
      <c r="Q9" s="8"/>
      <c r="R9" s="8"/>
      <c r="S9" s="8"/>
      <c r="T9" s="8"/>
      <c r="U9" s="8"/>
      <c r="V9" s="8"/>
      <c r="W9" s="8"/>
      <c r="X9" s="8"/>
      <c r="Y9" s="8"/>
      <c r="Z9" s="8"/>
      <c r="AA9" s="8"/>
      <c r="AB9" s="8"/>
      <c r="AC9" s="8"/>
      <c r="AD9" s="8"/>
      <c r="AE9" s="8"/>
      <c r="AF9" s="8"/>
      <c r="AG9" s="8"/>
      <c r="AH9" s="8"/>
      <c r="AI9" s="8"/>
      <c r="AJ9" s="8"/>
      <c r="AK9" s="8"/>
      <c r="AL9" s="8"/>
      <c r="AM9" s="8"/>
      <c r="AN9" s="8"/>
      <c r="AO9" s="8"/>
      <c r="AP9" s="8"/>
      <c r="AQ9" s="8"/>
      <c r="AR9" s="8"/>
      <c r="AS9" s="8"/>
      <c r="AT9" s="8"/>
      <c r="AU9" s="8"/>
      <c r="AV9" s="8"/>
      <c r="AW9" s="8"/>
      <c r="AX9" s="8"/>
      <c r="AY9" s="8"/>
      <c r="AZ9" s="8"/>
      <c r="BA9" s="8"/>
      <c r="BB9" s="8"/>
      <c r="BC9" s="8"/>
      <c r="BD9" s="8"/>
      <c r="BE9" s="8"/>
      <c r="BF9" s="8"/>
      <c r="BG9" s="8"/>
      <c r="BH9" s="8"/>
      <c r="BI9" s="8"/>
      <c r="BJ9" s="8"/>
      <c r="BK9" s="8"/>
      <c r="BL9" s="8"/>
      <c r="BM9" s="8"/>
      <c r="BN9" s="8"/>
      <c r="BO9" s="8"/>
      <c r="BP9" s="8"/>
      <c r="BQ9" s="8"/>
      <c r="BR9" s="8"/>
      <c r="BS9" s="8"/>
      <c r="BT9" s="8"/>
      <c r="BU9" s="8"/>
      <c r="BV9" s="8"/>
      <c r="BW9" s="8"/>
      <c r="BX9" s="8"/>
      <c r="BY9" s="8"/>
      <c r="BZ9" s="8"/>
      <c r="CA9" s="8"/>
      <c r="CB9" s="8"/>
      <c r="CC9" s="8"/>
      <c r="CD9" s="8"/>
      <c r="CE9" s="8"/>
      <c r="CF9" s="8"/>
      <c r="CG9" s="8"/>
      <c r="CH9" s="8"/>
      <c r="CI9" s="8"/>
      <c r="CJ9" s="8"/>
      <c r="CK9" s="8"/>
      <c r="CL9" s="8"/>
      <c r="CM9" s="8"/>
      <c r="CN9" s="8"/>
      <c r="CO9" s="8"/>
      <c r="CP9" s="8"/>
      <c r="CQ9" s="8"/>
      <c r="CR9" s="8"/>
    </row>
    <row r="10" spans="1:96" x14ac:dyDescent="0.25">
      <c r="A10" s="8"/>
      <c r="B10" s="8"/>
      <c r="C10" s="8"/>
      <c r="D10" s="8"/>
      <c r="E10" s="8"/>
      <c r="F10" s="8"/>
      <c r="G10" s="8"/>
      <c r="H10" s="8"/>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c r="AK10" s="8"/>
      <c r="AL10" s="8"/>
      <c r="AM10" s="8"/>
      <c r="AN10" s="8"/>
      <c r="AO10" s="8"/>
      <c r="AP10" s="8"/>
      <c r="AQ10" s="8"/>
      <c r="AR10" s="8"/>
      <c r="AS10" s="8"/>
      <c r="AT10" s="8"/>
      <c r="AU10" s="8"/>
      <c r="AV10" s="8"/>
      <c r="AW10" s="8"/>
      <c r="AX10" s="8"/>
      <c r="AY10" s="8"/>
      <c r="AZ10" s="8"/>
      <c r="BA10" s="8"/>
      <c r="BB10" s="8"/>
      <c r="BC10" s="8"/>
      <c r="BD10" s="8"/>
      <c r="BE10" s="8"/>
      <c r="BF10" s="8"/>
      <c r="BG10" s="8"/>
      <c r="BH10" s="8"/>
      <c r="BI10" s="8"/>
      <c r="BJ10" s="8"/>
      <c r="BK10" s="8"/>
      <c r="BL10" s="8"/>
      <c r="BM10" s="8"/>
      <c r="BN10" s="8"/>
      <c r="BO10" s="8"/>
      <c r="BP10" s="8"/>
      <c r="BQ10" s="8"/>
      <c r="BR10" s="8"/>
      <c r="BS10" s="8"/>
      <c r="BT10" s="8"/>
      <c r="BU10" s="8"/>
      <c r="BV10" s="8"/>
      <c r="BW10" s="8"/>
      <c r="BX10" s="8"/>
      <c r="BY10" s="8"/>
      <c r="BZ10" s="8"/>
      <c r="CA10" s="8"/>
      <c r="CB10" s="8"/>
      <c r="CC10" s="8"/>
      <c r="CD10" s="8"/>
      <c r="CE10" s="8"/>
      <c r="CF10" s="8"/>
      <c r="CG10" s="8"/>
      <c r="CH10" s="8"/>
      <c r="CI10" s="8"/>
      <c r="CJ10" s="8"/>
      <c r="CK10" s="8"/>
      <c r="CL10" s="8"/>
      <c r="CM10" s="8"/>
      <c r="CN10" s="8"/>
      <c r="CO10" s="8"/>
      <c r="CP10" s="8"/>
      <c r="CQ10" s="8"/>
      <c r="CR10" s="8"/>
    </row>
    <row r="11" spans="1:96" x14ac:dyDescent="0.25">
      <c r="A11" s="8"/>
      <c r="B11" s="8"/>
      <c r="C11" s="8"/>
      <c r="D11" s="8"/>
      <c r="E11" s="8"/>
      <c r="F11" s="8"/>
      <c r="G11" s="8"/>
      <c r="H11" s="8"/>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8"/>
      <c r="AL11" s="8"/>
      <c r="AM11" s="8"/>
      <c r="AN11" s="8"/>
      <c r="AO11" s="8"/>
      <c r="AP11" s="8"/>
      <c r="AQ11" s="8"/>
      <c r="AR11" s="8"/>
      <c r="AS11" s="8"/>
      <c r="AT11" s="8"/>
      <c r="AU11" s="8"/>
      <c r="AV11" s="8"/>
      <c r="AW11" s="8"/>
      <c r="AX11" s="8"/>
      <c r="AY11" s="8"/>
      <c r="AZ11" s="8"/>
      <c r="BA11" s="8"/>
      <c r="BB11" s="8"/>
      <c r="BC11" s="8"/>
      <c r="BD11" s="8"/>
      <c r="BE11" s="8"/>
      <c r="BF11" s="8"/>
      <c r="BG11" s="8"/>
      <c r="BH11" s="8"/>
      <c r="BI11" s="8"/>
      <c r="BJ11" s="8"/>
      <c r="BK11" s="8"/>
      <c r="BL11" s="8"/>
      <c r="BM11" s="8"/>
      <c r="BN11" s="8"/>
      <c r="BO11" s="8"/>
      <c r="BP11" s="8"/>
      <c r="BQ11" s="8"/>
      <c r="BR11" s="8"/>
      <c r="BS11" s="8"/>
      <c r="BT11" s="8"/>
      <c r="BU11" s="8"/>
      <c r="BV11" s="8"/>
      <c r="BW11" s="8"/>
      <c r="BX11" s="8"/>
      <c r="BY11" s="8"/>
      <c r="BZ11" s="8"/>
      <c r="CA11" s="8"/>
      <c r="CB11" s="8"/>
      <c r="CC11" s="8"/>
      <c r="CD11" s="8"/>
      <c r="CE11" s="8"/>
      <c r="CF11" s="8"/>
      <c r="CG11" s="8"/>
      <c r="CH11" s="8"/>
      <c r="CI11" s="8"/>
      <c r="CJ11" s="8"/>
      <c r="CK11" s="8"/>
      <c r="CL11" s="8"/>
      <c r="CM11" s="8"/>
      <c r="CN11" s="8"/>
      <c r="CO11" s="8"/>
      <c r="CP11" s="8"/>
      <c r="CQ11" s="8"/>
      <c r="CR11" s="8"/>
    </row>
    <row r="12" spans="1:96" x14ac:dyDescent="0.25">
      <c r="A12" s="8"/>
      <c r="B12" s="8"/>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c r="AT12" s="8"/>
      <c r="AU12" s="8"/>
      <c r="AV12" s="8"/>
      <c r="AW12" s="8"/>
      <c r="AX12" s="8"/>
      <c r="AY12" s="8"/>
      <c r="AZ12" s="8"/>
      <c r="BA12" s="8"/>
      <c r="BB12" s="8"/>
      <c r="BC12" s="8"/>
      <c r="BD12" s="8"/>
      <c r="BE12" s="8"/>
      <c r="BF12" s="8"/>
      <c r="BG12" s="8"/>
      <c r="BH12" s="8"/>
      <c r="BI12" s="8"/>
      <c r="BJ12" s="8"/>
      <c r="BK12" s="8"/>
      <c r="BL12" s="8"/>
      <c r="BM12" s="8"/>
      <c r="BN12" s="8"/>
      <c r="BO12" s="8"/>
      <c r="BP12" s="8"/>
      <c r="BQ12" s="8"/>
      <c r="BR12" s="8"/>
      <c r="BS12" s="8"/>
      <c r="BT12" s="8"/>
      <c r="BU12" s="8"/>
      <c r="BV12" s="8"/>
      <c r="BW12" s="8"/>
      <c r="BX12" s="8"/>
      <c r="BY12" s="8"/>
      <c r="BZ12" s="8"/>
      <c r="CA12" s="8"/>
      <c r="CB12" s="8"/>
      <c r="CC12" s="8"/>
      <c r="CD12" s="8"/>
      <c r="CE12" s="8"/>
      <c r="CF12" s="8"/>
      <c r="CG12" s="8"/>
      <c r="CH12" s="8"/>
      <c r="CI12" s="8"/>
      <c r="CJ12" s="8"/>
      <c r="CK12" s="8"/>
      <c r="CL12" s="8"/>
      <c r="CM12" s="8"/>
      <c r="CN12" s="8"/>
      <c r="CO12" s="8"/>
      <c r="CP12" s="8"/>
      <c r="CQ12" s="8"/>
      <c r="CR12" s="8"/>
    </row>
    <row r="13" spans="1:96" x14ac:dyDescent="0.25">
      <c r="A13" s="8"/>
      <c r="B13" s="8"/>
      <c r="C13" s="8"/>
      <c r="D13" s="8"/>
      <c r="E13" s="8"/>
      <c r="F13" s="8"/>
      <c r="G13" s="8"/>
      <c r="H13" s="8"/>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8"/>
      <c r="BA13" s="8"/>
      <c r="BB13" s="8"/>
      <c r="BC13" s="8"/>
      <c r="BD13" s="8"/>
      <c r="BE13" s="8"/>
      <c r="BF13" s="8"/>
      <c r="BG13" s="8"/>
      <c r="BH13" s="8"/>
      <c r="BI13" s="8"/>
      <c r="BJ13" s="8"/>
      <c r="BK13" s="8"/>
      <c r="BL13" s="8"/>
      <c r="BM13" s="8"/>
      <c r="BN13" s="8"/>
      <c r="BO13" s="8"/>
      <c r="BP13" s="8"/>
      <c r="BQ13" s="8"/>
      <c r="BR13" s="8"/>
      <c r="BS13" s="8"/>
      <c r="BT13" s="8"/>
      <c r="BU13" s="8"/>
      <c r="BV13" s="8"/>
      <c r="BW13" s="8"/>
      <c r="BX13" s="8"/>
      <c r="BY13" s="8"/>
      <c r="BZ13" s="8"/>
      <c r="CA13" s="8"/>
      <c r="CB13" s="8"/>
      <c r="CC13" s="8"/>
      <c r="CD13" s="8"/>
      <c r="CE13" s="8"/>
      <c r="CF13" s="8"/>
      <c r="CG13" s="8"/>
      <c r="CH13" s="8"/>
      <c r="CI13" s="8"/>
      <c r="CJ13" s="8"/>
      <c r="CK13" s="8"/>
      <c r="CL13" s="8"/>
      <c r="CM13" s="8"/>
      <c r="CN13" s="8"/>
      <c r="CO13" s="8"/>
      <c r="CP13" s="8"/>
      <c r="CQ13" s="8"/>
      <c r="CR13" s="8"/>
    </row>
    <row r="14" spans="1:96" x14ac:dyDescent="0.25">
      <c r="A14" s="8"/>
      <c r="B14" s="8"/>
      <c r="C14" s="8"/>
      <c r="D14" s="8"/>
      <c r="E14" s="8"/>
      <c r="F14" s="8"/>
      <c r="G14" s="8"/>
      <c r="H14" s="8"/>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8"/>
      <c r="BA14" s="8"/>
      <c r="BB14" s="8"/>
      <c r="BC14" s="8"/>
      <c r="BD14" s="8"/>
      <c r="BE14" s="8"/>
      <c r="BF14" s="8"/>
      <c r="BG14" s="8"/>
      <c r="BH14" s="8"/>
      <c r="BI14" s="8"/>
      <c r="BJ14" s="8"/>
      <c r="BK14" s="8"/>
      <c r="BL14" s="8"/>
      <c r="BM14" s="8"/>
      <c r="BN14" s="8"/>
      <c r="BO14" s="8"/>
      <c r="BP14" s="8"/>
      <c r="BQ14" s="8"/>
      <c r="BR14" s="8"/>
      <c r="BS14" s="8"/>
      <c r="BT14" s="8"/>
      <c r="BU14" s="8"/>
      <c r="BV14" s="8"/>
      <c r="BW14" s="8"/>
      <c r="BX14" s="8"/>
      <c r="BY14" s="8"/>
      <c r="BZ14" s="8"/>
      <c r="CA14" s="8"/>
      <c r="CB14" s="8"/>
      <c r="CC14" s="8"/>
      <c r="CD14" s="8"/>
      <c r="CE14" s="8"/>
      <c r="CF14" s="8"/>
      <c r="CG14" s="8"/>
      <c r="CH14" s="8"/>
      <c r="CI14" s="8"/>
      <c r="CJ14" s="8"/>
      <c r="CK14" s="8"/>
      <c r="CL14" s="8"/>
      <c r="CM14" s="8"/>
      <c r="CN14" s="8"/>
      <c r="CO14" s="8"/>
      <c r="CP14" s="8"/>
      <c r="CQ14" s="8"/>
      <c r="CR14" s="8"/>
    </row>
    <row r="15" spans="1:96" x14ac:dyDescent="0.25">
      <c r="A15" s="8"/>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c r="BS15" s="8"/>
      <c r="BT15" s="8"/>
      <c r="BU15" s="8"/>
      <c r="BV15" s="8"/>
      <c r="BW15" s="8"/>
      <c r="BX15" s="8"/>
      <c r="BY15" s="8"/>
      <c r="BZ15" s="8"/>
      <c r="CA15" s="8"/>
      <c r="CB15" s="8"/>
      <c r="CC15" s="8"/>
      <c r="CD15" s="8"/>
      <c r="CE15" s="8"/>
      <c r="CF15" s="8"/>
      <c r="CG15" s="8"/>
      <c r="CH15" s="8"/>
      <c r="CI15" s="8"/>
      <c r="CJ15" s="8"/>
      <c r="CK15" s="8"/>
      <c r="CL15" s="8"/>
      <c r="CM15" s="8"/>
      <c r="CN15" s="8"/>
      <c r="CO15" s="8"/>
      <c r="CP15" s="8"/>
      <c r="CQ15" s="8"/>
      <c r="CR15" s="8"/>
    </row>
    <row r="16" spans="1:96" x14ac:dyDescent="0.25">
      <c r="A16" s="8"/>
      <c r="B16" s="8"/>
      <c r="C16" s="8"/>
      <c r="D16" s="8"/>
      <c r="E16" s="8"/>
      <c r="F16" s="8"/>
      <c r="G16" s="8"/>
      <c r="H16" s="8"/>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c r="AT16" s="8"/>
      <c r="AU16" s="8"/>
      <c r="AV16" s="8"/>
      <c r="AW16" s="8"/>
      <c r="AX16" s="8"/>
      <c r="AY16" s="8"/>
      <c r="AZ16" s="8"/>
      <c r="BA16" s="8"/>
      <c r="BB16" s="8"/>
      <c r="BC16" s="8"/>
      <c r="BD16" s="8"/>
      <c r="BE16" s="8"/>
      <c r="BF16" s="8"/>
      <c r="BG16" s="8"/>
      <c r="BH16" s="8"/>
      <c r="BI16" s="8"/>
      <c r="BJ16" s="8"/>
      <c r="BK16" s="8"/>
      <c r="BL16" s="8"/>
      <c r="BM16" s="8"/>
      <c r="BN16" s="8"/>
      <c r="BO16" s="8"/>
      <c r="BP16" s="8"/>
      <c r="BQ16" s="8"/>
      <c r="BR16" s="8"/>
      <c r="BS16" s="8"/>
      <c r="BT16" s="8"/>
      <c r="BU16" s="8"/>
      <c r="BV16" s="8"/>
      <c r="BW16" s="8"/>
      <c r="BX16" s="8"/>
      <c r="BY16" s="8"/>
      <c r="BZ16" s="8"/>
      <c r="CA16" s="8"/>
      <c r="CB16" s="8"/>
      <c r="CC16" s="8"/>
      <c r="CD16" s="8"/>
      <c r="CE16" s="8"/>
      <c r="CF16" s="8"/>
      <c r="CG16" s="8"/>
      <c r="CH16" s="8"/>
      <c r="CI16" s="8"/>
      <c r="CJ16" s="8"/>
      <c r="CK16" s="8"/>
      <c r="CL16" s="8"/>
      <c r="CM16" s="8"/>
      <c r="CN16" s="8"/>
      <c r="CO16" s="8"/>
      <c r="CP16" s="8"/>
      <c r="CQ16" s="8"/>
      <c r="CR16" s="8"/>
    </row>
    <row r="17" spans="1:96" x14ac:dyDescent="0.25">
      <c r="A17" s="8"/>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c r="BS17" s="8"/>
      <c r="BT17" s="8"/>
      <c r="BU17" s="8"/>
      <c r="BV17" s="8"/>
      <c r="BW17" s="8"/>
      <c r="BX17" s="8"/>
      <c r="BY17" s="8"/>
      <c r="BZ17" s="8"/>
      <c r="CA17" s="8"/>
      <c r="CB17" s="8"/>
      <c r="CC17" s="8"/>
      <c r="CD17" s="8"/>
      <c r="CE17" s="8"/>
      <c r="CF17" s="8"/>
      <c r="CG17" s="8"/>
      <c r="CH17" s="8"/>
      <c r="CI17" s="8"/>
      <c r="CJ17" s="8"/>
      <c r="CK17" s="8"/>
      <c r="CL17" s="8"/>
      <c r="CM17" s="8"/>
      <c r="CN17" s="8"/>
      <c r="CO17" s="8"/>
      <c r="CP17" s="8"/>
      <c r="CQ17" s="8"/>
      <c r="CR17" s="8"/>
    </row>
    <row r="18" spans="1:96" x14ac:dyDescent="0.25">
      <c r="A18" s="8"/>
      <c r="B18" s="8"/>
      <c r="C18" s="8"/>
      <c r="D18" s="8"/>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8"/>
      <c r="AN18" s="8"/>
      <c r="AO18" s="8"/>
      <c r="AP18" s="8"/>
      <c r="AQ18" s="8"/>
      <c r="AR18" s="8"/>
      <c r="AS18" s="8"/>
      <c r="AT18" s="8"/>
      <c r="AU18" s="8"/>
      <c r="AV18" s="8"/>
      <c r="AW18" s="8"/>
      <c r="AX18" s="8"/>
      <c r="AY18" s="8"/>
      <c r="AZ18" s="8"/>
      <c r="BA18" s="8"/>
      <c r="BB18" s="8"/>
      <c r="BC18" s="8"/>
      <c r="BD18" s="8"/>
      <c r="BE18" s="8"/>
      <c r="BF18" s="8"/>
      <c r="BG18" s="8"/>
      <c r="BH18" s="8"/>
      <c r="BI18" s="8"/>
      <c r="BJ18" s="8"/>
      <c r="BK18" s="8"/>
      <c r="BL18" s="8"/>
      <c r="BM18" s="8"/>
      <c r="BN18" s="8"/>
      <c r="BO18" s="8"/>
      <c r="BP18" s="8"/>
      <c r="BQ18" s="8"/>
      <c r="BR18" s="8"/>
      <c r="BS18" s="8"/>
      <c r="BT18" s="8"/>
      <c r="BU18" s="8"/>
      <c r="BV18" s="8"/>
      <c r="BW18" s="8"/>
      <c r="BX18" s="8"/>
      <c r="BY18" s="8"/>
      <c r="BZ18" s="8"/>
      <c r="CA18" s="8"/>
      <c r="CB18" s="8"/>
      <c r="CC18" s="8"/>
      <c r="CD18" s="8"/>
      <c r="CE18" s="8"/>
      <c r="CF18" s="8"/>
      <c r="CG18" s="8"/>
      <c r="CH18" s="8"/>
      <c r="CI18" s="8"/>
      <c r="CJ18" s="8"/>
      <c r="CK18" s="8"/>
      <c r="CL18" s="8"/>
      <c r="CM18" s="8"/>
      <c r="CN18" s="8"/>
      <c r="CO18" s="8"/>
      <c r="CP18" s="8"/>
      <c r="CQ18" s="8"/>
      <c r="CR18" s="8"/>
    </row>
    <row r="19" spans="1:96" x14ac:dyDescent="0.25">
      <c r="A19" s="8"/>
      <c r="B19" s="8"/>
      <c r="C19" s="8"/>
      <c r="D19" s="8"/>
      <c r="E19" s="8"/>
      <c r="F19" s="8"/>
      <c r="G19" s="8"/>
      <c r="H19" s="8"/>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c r="AK19" s="8"/>
      <c r="AL19" s="8"/>
      <c r="AM19" s="8"/>
      <c r="AN19" s="8"/>
      <c r="AO19" s="8"/>
      <c r="AP19" s="8"/>
      <c r="AQ19" s="8"/>
      <c r="AR19" s="8"/>
      <c r="AS19" s="8"/>
      <c r="AT19" s="8"/>
      <c r="AU19" s="8"/>
      <c r="AV19" s="8"/>
      <c r="AW19" s="8"/>
      <c r="AX19" s="8"/>
      <c r="AY19" s="8"/>
      <c r="AZ19" s="8"/>
      <c r="BA19" s="8"/>
      <c r="BB19" s="8"/>
      <c r="BC19" s="8"/>
      <c r="BD19" s="8"/>
      <c r="BE19" s="8"/>
      <c r="BF19" s="8"/>
      <c r="BG19" s="8"/>
      <c r="BH19" s="8"/>
      <c r="BI19" s="8"/>
      <c r="BJ19" s="8"/>
      <c r="BK19" s="8"/>
      <c r="BL19" s="8"/>
      <c r="BM19" s="8"/>
      <c r="BN19" s="8"/>
      <c r="BO19" s="8"/>
      <c r="BP19" s="8"/>
      <c r="BQ19" s="8"/>
      <c r="BR19" s="8"/>
      <c r="BS19" s="8"/>
      <c r="BT19" s="8"/>
      <c r="BU19" s="8"/>
      <c r="BV19" s="8"/>
      <c r="BW19" s="8"/>
      <c r="BX19" s="8"/>
      <c r="BY19" s="8"/>
      <c r="BZ19" s="8"/>
      <c r="CA19" s="8"/>
      <c r="CB19" s="8"/>
      <c r="CC19" s="8"/>
      <c r="CD19" s="8"/>
      <c r="CE19" s="8"/>
      <c r="CF19" s="8"/>
      <c r="CG19" s="8"/>
      <c r="CH19" s="8"/>
      <c r="CI19" s="8"/>
      <c r="CJ19" s="8"/>
      <c r="CK19" s="8"/>
      <c r="CL19" s="8"/>
      <c r="CM19" s="8"/>
      <c r="CN19" s="8"/>
      <c r="CO19" s="8"/>
      <c r="CP19" s="8"/>
      <c r="CQ19" s="8"/>
      <c r="CR19" s="8"/>
    </row>
    <row r="20" spans="1:96" x14ac:dyDescent="0.25">
      <c r="A20" s="8"/>
      <c r="B20" s="8"/>
      <c r="C20" s="8"/>
      <c r="D20" s="8"/>
      <c r="E20" s="8"/>
      <c r="F20" s="8"/>
      <c r="G20" s="8"/>
      <c r="H20" s="8"/>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c r="AK20" s="8"/>
      <c r="AL20" s="8"/>
      <c r="AM20" s="8"/>
      <c r="AN20" s="8"/>
      <c r="AO20" s="8"/>
      <c r="AP20" s="8"/>
      <c r="AQ20" s="8"/>
      <c r="AR20" s="8"/>
      <c r="AS20" s="8"/>
      <c r="AT20" s="8"/>
      <c r="AU20" s="8"/>
      <c r="AV20" s="8"/>
      <c r="AW20" s="8"/>
      <c r="AX20" s="8"/>
      <c r="AY20" s="8"/>
      <c r="AZ20" s="8"/>
      <c r="BA20" s="8"/>
      <c r="BB20" s="8"/>
      <c r="BC20" s="8"/>
      <c r="BD20" s="8"/>
      <c r="BE20" s="8"/>
      <c r="BF20" s="8"/>
      <c r="BG20" s="8"/>
      <c r="BH20" s="8"/>
      <c r="BI20" s="8"/>
      <c r="BJ20" s="8"/>
      <c r="BK20" s="8"/>
      <c r="BL20" s="8"/>
      <c r="BM20" s="8"/>
      <c r="BN20" s="8"/>
      <c r="BO20" s="8"/>
      <c r="BP20" s="8"/>
      <c r="BQ20" s="8"/>
      <c r="BR20" s="8"/>
      <c r="BS20" s="8"/>
      <c r="BT20" s="8"/>
      <c r="BU20" s="8"/>
      <c r="BV20" s="8"/>
      <c r="BW20" s="8"/>
      <c r="BX20" s="8"/>
      <c r="BY20" s="8"/>
      <c r="BZ20" s="8"/>
      <c r="CA20" s="8"/>
      <c r="CB20" s="8"/>
      <c r="CC20" s="8"/>
      <c r="CD20" s="8"/>
      <c r="CE20" s="8"/>
      <c r="CF20" s="8"/>
      <c r="CG20" s="8"/>
      <c r="CH20" s="8"/>
      <c r="CI20" s="8"/>
      <c r="CJ20" s="8"/>
      <c r="CK20" s="8"/>
      <c r="CL20" s="8"/>
      <c r="CM20" s="8"/>
      <c r="CN20" s="8"/>
      <c r="CO20" s="8"/>
      <c r="CP20" s="8"/>
      <c r="CQ20" s="8"/>
      <c r="CR20" s="8"/>
    </row>
    <row r="21" spans="1:96" x14ac:dyDescent="0.25">
      <c r="A21" s="8"/>
      <c r="B21" s="8"/>
      <c r="C21" s="8"/>
      <c r="D21" s="8"/>
      <c r="E21" s="8"/>
      <c r="F21" s="8"/>
      <c r="G21" s="8"/>
      <c r="H21" s="8"/>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c r="AK21" s="8"/>
      <c r="AL21" s="8"/>
      <c r="AM21" s="8"/>
      <c r="AN21" s="8"/>
      <c r="AO21" s="8"/>
      <c r="AP21" s="8"/>
      <c r="AQ21" s="8"/>
      <c r="AR21" s="8"/>
      <c r="AS21" s="8"/>
      <c r="AT21" s="8"/>
      <c r="AU21" s="8"/>
      <c r="AV21" s="8"/>
      <c r="AW21" s="8"/>
      <c r="AX21" s="8"/>
      <c r="AY21" s="8"/>
      <c r="AZ21" s="8"/>
      <c r="BA21" s="8"/>
      <c r="BB21" s="8"/>
      <c r="BC21" s="8"/>
      <c r="BD21" s="8"/>
      <c r="BE21" s="8"/>
      <c r="BF21" s="8"/>
      <c r="BG21" s="8"/>
      <c r="BH21" s="8"/>
      <c r="BI21" s="8"/>
      <c r="BJ21" s="8"/>
      <c r="BK21" s="8"/>
      <c r="BL21" s="8"/>
      <c r="BM21" s="8"/>
      <c r="BN21" s="8"/>
      <c r="BO21" s="8"/>
      <c r="BP21" s="8"/>
      <c r="BQ21" s="8"/>
      <c r="BR21" s="8"/>
      <c r="BS21" s="8"/>
      <c r="BT21" s="8"/>
      <c r="BU21" s="8"/>
      <c r="BV21" s="8"/>
      <c r="BW21" s="8"/>
      <c r="BX21" s="8"/>
      <c r="BY21" s="8"/>
      <c r="BZ21" s="8"/>
      <c r="CA21" s="8"/>
      <c r="CB21" s="8"/>
      <c r="CC21" s="8"/>
      <c r="CD21" s="8"/>
      <c r="CE21" s="8"/>
      <c r="CF21" s="8"/>
      <c r="CG21" s="8"/>
      <c r="CH21" s="8"/>
      <c r="CI21" s="8"/>
      <c r="CJ21" s="8"/>
      <c r="CK21" s="8"/>
      <c r="CL21" s="8"/>
      <c r="CM21" s="8"/>
      <c r="CN21" s="8"/>
      <c r="CO21" s="8"/>
      <c r="CP21" s="8"/>
      <c r="CQ21" s="8"/>
      <c r="CR21" s="8"/>
    </row>
    <row r="22" spans="1:96" x14ac:dyDescent="0.25">
      <c r="A22" s="8"/>
      <c r="B22" s="8"/>
      <c r="C22" s="8"/>
      <c r="D22" s="8"/>
      <c r="E22" s="8"/>
      <c r="F22" s="8"/>
      <c r="G22" s="8"/>
      <c r="H22" s="8"/>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c r="AK22" s="8"/>
      <c r="AL22" s="8"/>
      <c r="AM22" s="8"/>
      <c r="AN22" s="8"/>
      <c r="AO22" s="8"/>
      <c r="AP22" s="8"/>
      <c r="AQ22" s="8"/>
      <c r="AR22" s="8"/>
      <c r="AS22" s="8"/>
      <c r="AT22" s="8"/>
      <c r="AU22" s="8"/>
      <c r="AV22" s="8"/>
      <c r="AW22" s="8"/>
      <c r="AX22" s="8"/>
      <c r="AY22" s="8"/>
      <c r="AZ22" s="8"/>
      <c r="BA22" s="8"/>
      <c r="BB22" s="8"/>
      <c r="BC22" s="8"/>
      <c r="BD22" s="8"/>
      <c r="BE22" s="8"/>
      <c r="BF22" s="8"/>
      <c r="BG22" s="8"/>
      <c r="BH22" s="8"/>
      <c r="BI22" s="8"/>
      <c r="BJ22" s="8"/>
      <c r="BK22" s="8"/>
      <c r="BL22" s="8"/>
      <c r="BM22" s="8"/>
      <c r="BN22" s="8"/>
      <c r="BO22" s="8"/>
      <c r="BP22" s="8"/>
      <c r="BQ22" s="8"/>
      <c r="BR22" s="8"/>
      <c r="BS22" s="8"/>
      <c r="BT22" s="8"/>
      <c r="BU22" s="8"/>
      <c r="BV22" s="8"/>
      <c r="BW22" s="8"/>
      <c r="BX22" s="8"/>
      <c r="BY22" s="8"/>
      <c r="BZ22" s="8"/>
      <c r="CA22" s="8"/>
      <c r="CB22" s="8"/>
      <c r="CC22" s="8"/>
      <c r="CD22" s="8"/>
      <c r="CE22" s="8"/>
      <c r="CF22" s="8"/>
      <c r="CG22" s="8"/>
      <c r="CH22" s="8"/>
      <c r="CI22" s="8"/>
      <c r="CJ22" s="8"/>
      <c r="CK22" s="8"/>
      <c r="CL22" s="8"/>
      <c r="CM22" s="8"/>
      <c r="CN22" s="8"/>
      <c r="CO22" s="8"/>
      <c r="CP22" s="8"/>
      <c r="CQ22" s="8"/>
      <c r="CR22" s="8"/>
    </row>
    <row r="23" spans="1:96" x14ac:dyDescent="0.25">
      <c r="A23" s="8"/>
      <c r="B23" s="8"/>
      <c r="C23" s="8"/>
      <c r="D23" s="8"/>
      <c r="E23" s="8"/>
      <c r="F23" s="8"/>
      <c r="G23" s="8"/>
      <c r="H23" s="8"/>
      <c r="I23" s="8"/>
      <c r="J23" s="8"/>
      <c r="K23" s="8"/>
      <c r="L23" s="8"/>
      <c r="M23" s="8"/>
      <c r="N23" s="8"/>
      <c r="O23" s="8"/>
      <c r="P23" s="8"/>
      <c r="Q23" s="8"/>
      <c r="R23" s="8"/>
      <c r="S23" s="8"/>
      <c r="T23" s="8"/>
      <c r="U23" s="8"/>
      <c r="V23" s="8"/>
      <c r="W23" s="8"/>
      <c r="X23" s="8"/>
      <c r="Y23" s="8"/>
      <c r="Z23" s="8"/>
      <c r="AA23" s="8"/>
      <c r="AB23" s="8"/>
      <c r="AC23" s="8"/>
      <c r="AD23" s="8"/>
      <c r="AE23" s="8"/>
      <c r="AF23" s="8"/>
      <c r="AG23" s="8"/>
      <c r="AH23" s="8"/>
      <c r="AI23" s="8"/>
      <c r="AJ23" s="8"/>
      <c r="AK23" s="8"/>
      <c r="AL23" s="8"/>
      <c r="AM23" s="8"/>
      <c r="AN23" s="8"/>
      <c r="AO23" s="8"/>
      <c r="AP23" s="8"/>
      <c r="AQ23" s="8"/>
      <c r="AR23" s="8"/>
      <c r="AS23" s="8"/>
      <c r="AT23" s="8"/>
      <c r="AU23" s="8"/>
      <c r="AV23" s="8"/>
      <c r="AW23" s="8"/>
      <c r="AX23" s="8"/>
      <c r="AY23" s="8"/>
      <c r="AZ23" s="8"/>
      <c r="BA23" s="8"/>
      <c r="BB23" s="8"/>
      <c r="BC23" s="8"/>
      <c r="BD23" s="8"/>
      <c r="BE23" s="8"/>
      <c r="BF23" s="8"/>
      <c r="BG23" s="8"/>
      <c r="BH23" s="8"/>
      <c r="BI23" s="8"/>
      <c r="BJ23" s="8"/>
      <c r="BK23" s="8"/>
      <c r="BL23" s="8"/>
      <c r="BM23" s="8"/>
      <c r="BN23" s="8"/>
      <c r="BO23" s="8"/>
      <c r="BP23" s="8"/>
      <c r="BQ23" s="8"/>
      <c r="BR23" s="8"/>
      <c r="BS23" s="8"/>
      <c r="BT23" s="8"/>
      <c r="BU23" s="8"/>
      <c r="BV23" s="8"/>
      <c r="BW23" s="8"/>
      <c r="BX23" s="8"/>
      <c r="BY23" s="8"/>
      <c r="BZ23" s="8"/>
      <c r="CA23" s="8"/>
      <c r="CB23" s="8"/>
      <c r="CC23" s="8"/>
      <c r="CD23" s="8"/>
      <c r="CE23" s="8"/>
      <c r="CF23" s="8"/>
      <c r="CG23" s="8"/>
      <c r="CH23" s="8"/>
      <c r="CI23" s="8"/>
      <c r="CJ23" s="8"/>
      <c r="CK23" s="8"/>
      <c r="CL23" s="8"/>
      <c r="CM23" s="8"/>
      <c r="CN23" s="8"/>
      <c r="CO23" s="8"/>
      <c r="CP23" s="8"/>
      <c r="CQ23" s="8"/>
      <c r="CR23" s="8"/>
    </row>
    <row r="24" spans="1:96" x14ac:dyDescent="0.25">
      <c r="A24" s="8"/>
      <c r="B24" s="8"/>
      <c r="C24" s="8"/>
      <c r="D24" s="8"/>
      <c r="E24" s="8"/>
      <c r="F24" s="8"/>
      <c r="G24" s="8"/>
      <c r="H24" s="8"/>
      <c r="I24" s="8"/>
      <c r="J24" s="8"/>
      <c r="K24" s="8"/>
      <c r="L24" s="8"/>
      <c r="M24" s="8"/>
      <c r="N24" s="8"/>
      <c r="O24" s="8"/>
      <c r="P24" s="8"/>
      <c r="Q24" s="8"/>
      <c r="R24" s="8"/>
      <c r="S24" s="8"/>
      <c r="T24" s="8"/>
      <c r="U24" s="8"/>
      <c r="V24" s="8"/>
      <c r="W24" s="8"/>
      <c r="X24" s="8"/>
      <c r="Y24" s="8"/>
      <c r="Z24" s="8"/>
      <c r="AA24" s="8"/>
      <c r="AB24" s="8"/>
      <c r="AC24" s="8"/>
      <c r="AD24" s="8"/>
      <c r="AE24" s="8"/>
      <c r="AF24" s="8"/>
      <c r="AG24" s="8"/>
      <c r="AH24" s="8"/>
      <c r="AI24" s="8"/>
      <c r="AJ24" s="8"/>
      <c r="AK24" s="8"/>
      <c r="AL24" s="8"/>
      <c r="AM24" s="8"/>
      <c r="AN24" s="8"/>
      <c r="AO24" s="8"/>
      <c r="AP24" s="8"/>
      <c r="AQ24" s="8"/>
      <c r="AR24" s="8"/>
      <c r="AS24" s="8"/>
      <c r="AT24" s="8"/>
      <c r="AU24" s="8"/>
      <c r="AV24" s="8"/>
      <c r="AW24" s="8"/>
      <c r="AX24" s="8"/>
      <c r="AY24" s="8"/>
      <c r="AZ24" s="8"/>
      <c r="BA24" s="8"/>
      <c r="BB24" s="8"/>
      <c r="BC24" s="8"/>
      <c r="BD24" s="8"/>
      <c r="BE24" s="8"/>
      <c r="BF24" s="8"/>
      <c r="BG24" s="8"/>
      <c r="BH24" s="8"/>
      <c r="BI24" s="8"/>
      <c r="BJ24" s="8"/>
      <c r="BK24" s="8"/>
      <c r="BL24" s="8"/>
      <c r="BM24" s="8"/>
      <c r="BN24" s="8"/>
      <c r="BO24" s="8"/>
      <c r="BP24" s="8"/>
      <c r="BQ24" s="8"/>
      <c r="BR24" s="8"/>
      <c r="BS24" s="8"/>
      <c r="BT24" s="8"/>
      <c r="BU24" s="8"/>
      <c r="BV24" s="8"/>
      <c r="BW24" s="8"/>
      <c r="BX24" s="8"/>
      <c r="BY24" s="8"/>
      <c r="BZ24" s="8"/>
      <c r="CA24" s="8"/>
      <c r="CB24" s="8"/>
      <c r="CC24" s="8"/>
      <c r="CD24" s="8"/>
      <c r="CE24" s="8"/>
      <c r="CF24" s="8"/>
      <c r="CG24" s="8"/>
      <c r="CH24" s="8"/>
      <c r="CI24" s="8"/>
      <c r="CJ24" s="8"/>
      <c r="CK24" s="8"/>
      <c r="CL24" s="8"/>
      <c r="CM24" s="8"/>
      <c r="CN24" s="8"/>
      <c r="CO24" s="8"/>
      <c r="CP24" s="8"/>
      <c r="CQ24" s="8"/>
      <c r="CR24" s="8"/>
    </row>
    <row r="25" spans="1:96" x14ac:dyDescent="0.25">
      <c r="A25" s="8"/>
      <c r="B25" s="8"/>
      <c r="C25" s="8"/>
      <c r="D25" s="8"/>
      <c r="E25" s="8"/>
      <c r="F25" s="8"/>
      <c r="G25" s="8"/>
      <c r="H25" s="8"/>
      <c r="I25" s="8"/>
      <c r="J25" s="8"/>
      <c r="K25" s="8"/>
      <c r="L25" s="8"/>
      <c r="M25" s="8"/>
      <c r="N25" s="8"/>
      <c r="O25" s="8"/>
      <c r="P25" s="8"/>
      <c r="Q25" s="8"/>
      <c r="R25" s="8"/>
      <c r="S25" s="8"/>
      <c r="T25" s="8"/>
      <c r="U25" s="8"/>
      <c r="V25" s="8"/>
      <c r="W25" s="8"/>
      <c r="X25" s="8"/>
      <c r="Y25" s="8"/>
      <c r="Z25" s="8"/>
      <c r="AA25" s="8"/>
      <c r="AB25" s="8"/>
      <c r="AC25" s="8"/>
      <c r="AD25" s="8"/>
      <c r="AE25" s="8"/>
      <c r="AF25" s="8"/>
      <c r="AG25" s="8"/>
      <c r="AH25" s="8"/>
      <c r="AI25" s="8"/>
      <c r="AJ25" s="8"/>
      <c r="AK25" s="8"/>
      <c r="AL25" s="8"/>
      <c r="AM25" s="8"/>
      <c r="AN25" s="8"/>
      <c r="AO25" s="8"/>
      <c r="AP25" s="8"/>
      <c r="AQ25" s="8"/>
      <c r="AR25" s="8"/>
      <c r="AS25" s="8"/>
      <c r="AT25" s="8"/>
      <c r="AU25" s="8"/>
      <c r="AV25" s="8"/>
      <c r="AW25" s="8"/>
      <c r="AX25" s="8"/>
      <c r="AY25" s="8"/>
      <c r="AZ25" s="8"/>
      <c r="BA25" s="8"/>
      <c r="BB25" s="8"/>
      <c r="BC25" s="8"/>
      <c r="BD25" s="8"/>
      <c r="BE25" s="8"/>
      <c r="BF25" s="8"/>
      <c r="BG25" s="8"/>
      <c r="BH25" s="8"/>
      <c r="BI25" s="8"/>
      <c r="BJ25" s="8"/>
      <c r="BK25" s="8"/>
      <c r="BL25" s="8"/>
      <c r="BM25" s="8"/>
      <c r="BN25" s="8"/>
      <c r="BO25" s="8"/>
      <c r="BP25" s="8"/>
      <c r="BQ25" s="8"/>
      <c r="BR25" s="8"/>
      <c r="BS25" s="8"/>
      <c r="BT25" s="8"/>
      <c r="BU25" s="8"/>
      <c r="BV25" s="8"/>
      <c r="BW25" s="8"/>
      <c r="BX25" s="8"/>
      <c r="BY25" s="8"/>
      <c r="BZ25" s="8"/>
      <c r="CA25" s="8"/>
      <c r="CB25" s="8"/>
      <c r="CC25" s="8"/>
      <c r="CD25" s="8"/>
      <c r="CE25" s="8"/>
      <c r="CF25" s="8"/>
      <c r="CG25" s="8"/>
      <c r="CH25" s="8"/>
      <c r="CI25" s="8"/>
      <c r="CJ25" s="8"/>
      <c r="CK25" s="8"/>
      <c r="CL25" s="8"/>
      <c r="CM25" s="8"/>
      <c r="CN25" s="8"/>
      <c r="CO25" s="8"/>
      <c r="CP25" s="8"/>
      <c r="CQ25" s="8"/>
      <c r="CR25" s="8"/>
    </row>
    <row r="26" spans="1:96" x14ac:dyDescent="0.25">
      <c r="A26" s="8"/>
      <c r="B26" s="8"/>
      <c r="C26" s="8"/>
      <c r="D26" s="8"/>
      <c r="E26" s="8"/>
      <c r="F26" s="8"/>
      <c r="G26" s="8"/>
      <c r="H26" s="8"/>
      <c r="I26" s="8"/>
      <c r="J26" s="8"/>
      <c r="K26" s="8"/>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8"/>
      <c r="AO26" s="8"/>
      <c r="AP26" s="8"/>
      <c r="AQ26" s="8"/>
      <c r="AR26" s="8"/>
      <c r="AS26" s="8"/>
      <c r="AT26" s="8"/>
      <c r="AU26" s="8"/>
      <c r="AV26" s="8"/>
      <c r="AW26" s="8"/>
      <c r="AX26" s="8"/>
      <c r="AY26" s="8"/>
      <c r="AZ26" s="8"/>
      <c r="BA26" s="8"/>
      <c r="BB26" s="8"/>
      <c r="BC26" s="8"/>
      <c r="BD26" s="8"/>
      <c r="BE26" s="8"/>
      <c r="BF26" s="8"/>
      <c r="BG26" s="8"/>
      <c r="BH26" s="8"/>
      <c r="BI26" s="8"/>
      <c r="BJ26" s="8"/>
      <c r="BK26" s="8"/>
      <c r="BL26" s="8"/>
      <c r="BM26" s="8"/>
      <c r="BN26" s="8"/>
      <c r="BO26" s="8"/>
      <c r="BP26" s="8"/>
      <c r="BQ26" s="8"/>
      <c r="BR26" s="8"/>
      <c r="BS26" s="8"/>
      <c r="BT26" s="8"/>
      <c r="BU26" s="8"/>
      <c r="BV26" s="8"/>
      <c r="BW26" s="8"/>
      <c r="BX26" s="8"/>
      <c r="BY26" s="8"/>
      <c r="BZ26" s="8"/>
      <c r="CA26" s="8"/>
      <c r="CB26" s="8"/>
      <c r="CC26" s="8"/>
      <c r="CD26" s="8"/>
      <c r="CE26" s="8"/>
      <c r="CF26" s="8"/>
      <c r="CG26" s="8"/>
      <c r="CH26" s="8"/>
      <c r="CI26" s="8"/>
      <c r="CJ26" s="8"/>
      <c r="CK26" s="8"/>
      <c r="CL26" s="8"/>
      <c r="CM26" s="8"/>
      <c r="CN26" s="8"/>
      <c r="CO26" s="8"/>
      <c r="CP26" s="8"/>
      <c r="CQ26" s="8"/>
      <c r="CR26" s="8"/>
    </row>
    <row r="27" spans="1:96" x14ac:dyDescent="0.25">
      <c r="A27" s="8"/>
      <c r="B27" s="8"/>
      <c r="C27" s="8"/>
      <c r="D27" s="8"/>
      <c r="E27" s="8"/>
      <c r="F27" s="8"/>
      <c r="G27" s="8"/>
      <c r="H27" s="8"/>
      <c r="I27" s="8"/>
      <c r="J27" s="8"/>
      <c r="K27" s="8"/>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8"/>
      <c r="AN27" s="8"/>
      <c r="AO27" s="8"/>
      <c r="AP27" s="8"/>
      <c r="AQ27" s="8"/>
      <c r="AR27" s="8"/>
      <c r="AS27" s="8"/>
      <c r="AT27" s="8"/>
      <c r="AU27" s="8"/>
      <c r="AV27" s="8"/>
      <c r="AW27" s="8"/>
      <c r="AX27" s="8"/>
      <c r="AY27" s="8"/>
      <c r="AZ27" s="8"/>
      <c r="BA27" s="8"/>
      <c r="BB27" s="8"/>
      <c r="BC27" s="8"/>
      <c r="BD27" s="8"/>
      <c r="BE27" s="8"/>
      <c r="BF27" s="8"/>
      <c r="BG27" s="8"/>
      <c r="BH27" s="8"/>
      <c r="BI27" s="8"/>
      <c r="BJ27" s="8"/>
      <c r="BK27" s="8"/>
      <c r="BL27" s="8"/>
      <c r="BM27" s="8"/>
      <c r="BN27" s="8"/>
      <c r="BO27" s="8"/>
      <c r="BP27" s="8"/>
      <c r="BQ27" s="8"/>
      <c r="BR27" s="8"/>
      <c r="BS27" s="8"/>
      <c r="BT27" s="8"/>
      <c r="BU27" s="8"/>
      <c r="BV27" s="8"/>
      <c r="BW27" s="8"/>
      <c r="BX27" s="8"/>
      <c r="BY27" s="8"/>
      <c r="BZ27" s="8"/>
      <c r="CA27" s="8"/>
      <c r="CB27" s="8"/>
      <c r="CC27" s="8"/>
      <c r="CD27" s="8"/>
      <c r="CE27" s="8"/>
      <c r="CF27" s="8"/>
      <c r="CG27" s="8"/>
      <c r="CH27" s="8"/>
      <c r="CI27" s="8"/>
      <c r="CJ27" s="8"/>
      <c r="CK27" s="8"/>
      <c r="CL27" s="8"/>
      <c r="CM27" s="8"/>
      <c r="CN27" s="8"/>
      <c r="CO27" s="8"/>
      <c r="CP27" s="8"/>
      <c r="CQ27" s="8"/>
      <c r="CR27" s="8"/>
    </row>
    <row r="28" spans="1:96" x14ac:dyDescent="0.25">
      <c r="A28" s="8"/>
      <c r="B28" s="8"/>
      <c r="C28" s="8"/>
      <c r="D28" s="8"/>
      <c r="E28" s="8"/>
      <c r="F28" s="8"/>
      <c r="G28" s="8"/>
      <c r="H28" s="8"/>
      <c r="I28" s="8"/>
      <c r="J28" s="8"/>
      <c r="K28" s="8"/>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c r="AT28" s="8"/>
      <c r="AU28" s="8"/>
      <c r="AV28" s="8"/>
      <c r="AW28" s="8"/>
      <c r="AX28" s="8"/>
      <c r="AY28" s="8"/>
      <c r="AZ28" s="8"/>
      <c r="BA28" s="8"/>
      <c r="BB28" s="8"/>
      <c r="BC28" s="8"/>
      <c r="BD28" s="8"/>
      <c r="BE28" s="8"/>
      <c r="BF28" s="8"/>
      <c r="BG28" s="8"/>
      <c r="BH28" s="8"/>
      <c r="BI28" s="8"/>
      <c r="BJ28" s="8"/>
      <c r="BK28" s="8"/>
      <c r="BL28" s="8"/>
      <c r="BM28" s="8"/>
      <c r="BN28" s="8"/>
      <c r="BO28" s="8"/>
      <c r="BP28" s="8"/>
      <c r="BQ28" s="8"/>
      <c r="BR28" s="8"/>
      <c r="BS28" s="8"/>
      <c r="BT28" s="8"/>
      <c r="BU28" s="8"/>
      <c r="BV28" s="8"/>
      <c r="BW28" s="8"/>
      <c r="BX28" s="8"/>
      <c r="BY28" s="8"/>
      <c r="BZ28" s="8"/>
      <c r="CA28" s="8"/>
      <c r="CB28" s="8"/>
      <c r="CC28" s="8"/>
      <c r="CD28" s="8"/>
      <c r="CE28" s="8"/>
      <c r="CF28" s="8"/>
      <c r="CG28" s="8"/>
      <c r="CH28" s="8"/>
      <c r="CI28" s="8"/>
      <c r="CJ28" s="8"/>
      <c r="CK28" s="8"/>
      <c r="CL28" s="8"/>
      <c r="CM28" s="8"/>
      <c r="CN28" s="8"/>
      <c r="CO28" s="8"/>
      <c r="CP28" s="8"/>
      <c r="CQ28" s="8"/>
      <c r="CR28" s="8"/>
    </row>
    <row r="29" spans="1:96" x14ac:dyDescent="0.25">
      <c r="A29" s="8"/>
      <c r="B29" s="8"/>
      <c r="C29" s="8"/>
      <c r="D29" s="8"/>
      <c r="E29" s="8"/>
      <c r="F29" s="8"/>
      <c r="G29" s="8"/>
      <c r="H29" s="8"/>
      <c r="I29" s="8"/>
      <c r="J29" s="8"/>
      <c r="K29" s="8"/>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c r="AT29" s="8"/>
      <c r="AU29" s="8"/>
      <c r="AV29" s="8"/>
      <c r="AW29" s="8"/>
      <c r="AX29" s="8"/>
      <c r="AY29" s="8"/>
      <c r="AZ29" s="8"/>
      <c r="BA29" s="8"/>
      <c r="BB29" s="8"/>
      <c r="BC29" s="8"/>
      <c r="BD29" s="8"/>
      <c r="BE29" s="8"/>
      <c r="BF29" s="8"/>
      <c r="BG29" s="8"/>
      <c r="BH29" s="8"/>
      <c r="BI29" s="8"/>
      <c r="BJ29" s="8"/>
      <c r="BK29" s="8"/>
      <c r="BL29" s="8"/>
      <c r="BM29" s="8"/>
      <c r="BN29" s="8"/>
      <c r="BO29" s="8"/>
      <c r="BP29" s="8"/>
      <c r="BQ29" s="8"/>
      <c r="BR29" s="8"/>
      <c r="BS29" s="8"/>
      <c r="BT29" s="8"/>
      <c r="BU29" s="8"/>
      <c r="BV29" s="8"/>
      <c r="BW29" s="8"/>
      <c r="BX29" s="8"/>
      <c r="BY29" s="8"/>
      <c r="BZ29" s="8"/>
      <c r="CA29" s="8"/>
      <c r="CB29" s="8"/>
      <c r="CC29" s="8"/>
      <c r="CD29" s="8"/>
      <c r="CE29" s="8"/>
      <c r="CF29" s="8"/>
      <c r="CG29" s="8"/>
      <c r="CH29" s="8"/>
      <c r="CI29" s="8"/>
      <c r="CJ29" s="8"/>
      <c r="CK29" s="8"/>
      <c r="CL29" s="8"/>
      <c r="CM29" s="8"/>
      <c r="CN29" s="8"/>
      <c r="CO29" s="8"/>
      <c r="CP29" s="8"/>
      <c r="CQ29" s="8"/>
      <c r="CR29" s="8"/>
    </row>
    <row r="30" spans="1:96" x14ac:dyDescent="0.25">
      <c r="A30" s="8"/>
      <c r="B30" s="8"/>
      <c r="C30" s="8"/>
      <c r="D30" s="8"/>
      <c r="E30" s="8"/>
      <c r="F30" s="8"/>
      <c r="G30" s="8"/>
      <c r="H30" s="8"/>
      <c r="I30" s="8"/>
      <c r="J30" s="8"/>
      <c r="K30" s="8"/>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c r="AO30" s="8"/>
      <c r="AP30" s="8"/>
      <c r="AQ30" s="8"/>
      <c r="AR30" s="8"/>
      <c r="AS30" s="8"/>
      <c r="AT30" s="8"/>
      <c r="AU30" s="8"/>
      <c r="AV30" s="8"/>
      <c r="AW30" s="8"/>
      <c r="AX30" s="8"/>
      <c r="AY30" s="8"/>
      <c r="AZ30" s="8"/>
      <c r="BA30" s="8"/>
      <c r="BB30" s="8"/>
      <c r="BC30" s="8"/>
      <c r="BD30" s="8"/>
      <c r="BE30" s="8"/>
      <c r="BF30" s="8"/>
      <c r="BG30" s="8"/>
      <c r="BH30" s="8"/>
      <c r="BI30" s="8"/>
      <c r="BJ30" s="8"/>
      <c r="BK30" s="8"/>
      <c r="BL30" s="8"/>
      <c r="BM30" s="8"/>
      <c r="BN30" s="8"/>
      <c r="BO30" s="8"/>
      <c r="BP30" s="8"/>
      <c r="BQ30" s="8"/>
      <c r="BR30" s="8"/>
      <c r="BS30" s="8"/>
      <c r="BT30" s="8"/>
      <c r="BU30" s="8"/>
      <c r="BV30" s="8"/>
      <c r="BW30" s="8"/>
      <c r="BX30" s="8"/>
      <c r="BY30" s="8"/>
      <c r="BZ30" s="8"/>
      <c r="CA30" s="8"/>
      <c r="CB30" s="8"/>
      <c r="CC30" s="8"/>
      <c r="CD30" s="8"/>
      <c r="CE30" s="8"/>
      <c r="CF30" s="8"/>
      <c r="CG30" s="8"/>
      <c r="CH30" s="8"/>
      <c r="CI30" s="8"/>
      <c r="CJ30" s="8"/>
      <c r="CK30" s="8"/>
      <c r="CL30" s="8"/>
      <c r="CM30" s="8"/>
      <c r="CN30" s="8"/>
      <c r="CO30" s="8"/>
      <c r="CP30" s="8"/>
      <c r="CQ30" s="8"/>
      <c r="CR30" s="8"/>
    </row>
    <row r="31" spans="1:96" x14ac:dyDescent="0.25">
      <c r="A31" s="8"/>
      <c r="B31" s="8"/>
      <c r="C31" s="8"/>
      <c r="D31" s="8"/>
      <c r="E31" s="8"/>
      <c r="F31" s="8"/>
      <c r="G31" s="8"/>
      <c r="H31" s="8"/>
      <c r="I31" s="8"/>
      <c r="J31" s="8"/>
      <c r="K31" s="8"/>
      <c r="L31" s="8"/>
      <c r="M31" s="8"/>
      <c r="N31" s="8"/>
      <c r="O31" s="8"/>
      <c r="P31" s="8"/>
      <c r="Q31" s="8"/>
      <c r="R31" s="8"/>
      <c r="S31" s="8"/>
      <c r="T31" s="8"/>
      <c r="U31" s="8"/>
      <c r="V31" s="8"/>
      <c r="W31" s="8"/>
      <c r="X31" s="8"/>
      <c r="Y31" s="8"/>
      <c r="Z31" s="8"/>
      <c r="AA31" s="8"/>
      <c r="AB31" s="8"/>
      <c r="AC31" s="8"/>
      <c r="AD31" s="8"/>
      <c r="AE31" s="8"/>
      <c r="AF31" s="8"/>
      <c r="AG31" s="8"/>
      <c r="AH31" s="8"/>
      <c r="AI31" s="8"/>
      <c r="AJ31" s="8"/>
      <c r="AK31" s="8"/>
      <c r="AL31" s="8"/>
      <c r="AM31" s="8"/>
      <c r="AN31" s="8"/>
      <c r="AO31" s="8"/>
      <c r="AP31" s="8"/>
      <c r="AQ31" s="8"/>
      <c r="AR31" s="8"/>
      <c r="AS31" s="8"/>
      <c r="AT31" s="8"/>
      <c r="AU31" s="8"/>
      <c r="AV31" s="8"/>
      <c r="AW31" s="8"/>
      <c r="AX31" s="8"/>
      <c r="AY31" s="8"/>
      <c r="AZ31" s="8"/>
      <c r="BA31" s="8"/>
      <c r="BB31" s="8"/>
      <c r="BC31" s="8"/>
      <c r="BD31" s="8"/>
      <c r="BE31" s="8"/>
      <c r="BF31" s="8"/>
      <c r="BG31" s="8"/>
      <c r="BH31" s="8"/>
      <c r="BI31" s="8"/>
      <c r="BJ31" s="8"/>
      <c r="BK31" s="8"/>
      <c r="BL31" s="8"/>
      <c r="BM31" s="8"/>
      <c r="BN31" s="8"/>
      <c r="BO31" s="8"/>
      <c r="BP31" s="8"/>
      <c r="BQ31" s="8"/>
      <c r="BR31" s="8"/>
      <c r="BS31" s="8"/>
      <c r="BT31" s="8"/>
      <c r="BU31" s="8"/>
      <c r="BV31" s="8"/>
      <c r="BW31" s="8"/>
      <c r="BX31" s="8"/>
      <c r="BY31" s="8"/>
      <c r="BZ31" s="8"/>
      <c r="CA31" s="8"/>
      <c r="CB31" s="8"/>
      <c r="CC31" s="8"/>
      <c r="CD31" s="8"/>
      <c r="CE31" s="8"/>
      <c r="CF31" s="8"/>
      <c r="CG31" s="8"/>
      <c r="CH31" s="8"/>
      <c r="CI31" s="8"/>
      <c r="CJ31" s="8"/>
      <c r="CK31" s="8"/>
      <c r="CL31" s="8"/>
      <c r="CM31" s="8"/>
      <c r="CN31" s="8"/>
      <c r="CO31" s="8"/>
      <c r="CP31" s="8"/>
      <c r="CQ31" s="8"/>
      <c r="CR31" s="8"/>
    </row>
    <row r="32" spans="1:96" x14ac:dyDescent="0.25">
      <c r="A32" s="8"/>
      <c r="B32" s="8"/>
      <c r="C32" s="8"/>
      <c r="D32" s="8"/>
      <c r="E32" s="8"/>
      <c r="F32" s="8"/>
      <c r="G32" s="8"/>
      <c r="H32" s="8"/>
      <c r="I32" s="8"/>
      <c r="J32" s="8"/>
      <c r="K32" s="8"/>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8"/>
      <c r="AN32" s="8"/>
      <c r="AO32" s="8"/>
      <c r="AP32" s="8"/>
      <c r="AQ32" s="8"/>
      <c r="AR32" s="8"/>
      <c r="AS32" s="8"/>
      <c r="AT32" s="8"/>
      <c r="AU32" s="8"/>
      <c r="AV32" s="8"/>
      <c r="AW32" s="8"/>
      <c r="AX32" s="8"/>
      <c r="AY32" s="8"/>
      <c r="AZ32" s="8"/>
      <c r="BA32" s="8"/>
      <c r="BB32" s="8"/>
      <c r="BC32" s="8"/>
      <c r="BD32" s="8"/>
      <c r="BE32" s="8"/>
      <c r="BF32" s="8"/>
      <c r="BG32" s="8"/>
      <c r="BH32" s="8"/>
      <c r="BI32" s="8"/>
      <c r="BJ32" s="8"/>
      <c r="BK32" s="8"/>
      <c r="BL32" s="8"/>
      <c r="BM32" s="8"/>
      <c r="BN32" s="8"/>
      <c r="BO32" s="8"/>
      <c r="BP32" s="8"/>
      <c r="BQ32" s="8"/>
      <c r="BR32" s="8"/>
      <c r="BS32" s="8"/>
      <c r="BT32" s="8"/>
      <c r="BU32" s="8"/>
      <c r="BV32" s="8"/>
      <c r="BW32" s="8"/>
      <c r="BX32" s="8"/>
      <c r="BY32" s="8"/>
      <c r="BZ32" s="8"/>
      <c r="CA32" s="8"/>
      <c r="CB32" s="8"/>
      <c r="CC32" s="8"/>
      <c r="CD32" s="8"/>
      <c r="CE32" s="8"/>
      <c r="CF32" s="8"/>
      <c r="CG32" s="8"/>
      <c r="CH32" s="8"/>
      <c r="CI32" s="8"/>
      <c r="CJ32" s="8"/>
      <c r="CK32" s="8"/>
      <c r="CL32" s="8"/>
      <c r="CM32" s="8"/>
      <c r="CN32" s="8"/>
      <c r="CO32" s="8"/>
      <c r="CP32" s="8"/>
      <c r="CQ32" s="8"/>
      <c r="CR32" s="8"/>
    </row>
    <row r="33" spans="1:96" x14ac:dyDescent="0.25">
      <c r="A33" s="8"/>
      <c r="B33" s="8"/>
      <c r="C33" s="8"/>
      <c r="D33" s="8"/>
      <c r="E33" s="8"/>
      <c r="F33" s="8"/>
      <c r="G33" s="8"/>
      <c r="H33" s="8"/>
      <c r="I33" s="8"/>
      <c r="J33" s="8"/>
      <c r="K33" s="8"/>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c r="AO33" s="8"/>
      <c r="AP33" s="8"/>
      <c r="AQ33" s="8"/>
      <c r="AR33" s="8"/>
      <c r="AS33" s="8"/>
      <c r="AT33" s="8"/>
      <c r="AU33" s="8"/>
      <c r="AV33" s="8"/>
      <c r="AW33" s="8"/>
      <c r="AX33" s="8"/>
      <c r="AY33" s="8"/>
      <c r="AZ33" s="8"/>
      <c r="BA33" s="8"/>
      <c r="BB33" s="8"/>
      <c r="BC33" s="8"/>
      <c r="BD33" s="8"/>
      <c r="BE33" s="8"/>
      <c r="BF33" s="8"/>
      <c r="BG33" s="8"/>
      <c r="BH33" s="8"/>
      <c r="BI33" s="8"/>
      <c r="BJ33" s="8"/>
      <c r="BK33" s="8"/>
      <c r="BL33" s="8"/>
      <c r="BM33" s="8"/>
      <c r="BN33" s="8"/>
      <c r="BO33" s="8"/>
      <c r="BP33" s="8"/>
      <c r="BQ33" s="8"/>
      <c r="BR33" s="8"/>
      <c r="BS33" s="8"/>
      <c r="BT33" s="8"/>
      <c r="BU33" s="8"/>
      <c r="BV33" s="8"/>
      <c r="BW33" s="8"/>
      <c r="BX33" s="8"/>
      <c r="BY33" s="8"/>
      <c r="BZ33" s="8"/>
      <c r="CA33" s="8"/>
      <c r="CB33" s="8"/>
      <c r="CC33" s="8"/>
      <c r="CD33" s="8"/>
      <c r="CE33" s="8"/>
      <c r="CF33" s="8"/>
      <c r="CG33" s="8"/>
      <c r="CH33" s="8"/>
      <c r="CI33" s="8"/>
      <c r="CJ33" s="8"/>
      <c r="CK33" s="8"/>
      <c r="CL33" s="8"/>
      <c r="CM33" s="8"/>
      <c r="CN33" s="8"/>
      <c r="CO33" s="8"/>
      <c r="CP33" s="8"/>
      <c r="CQ33" s="8"/>
      <c r="CR33" s="8"/>
    </row>
    <row r="34" spans="1:96" x14ac:dyDescent="0.25">
      <c r="A34" s="8"/>
      <c r="B34" s="8"/>
      <c r="C34" s="8"/>
      <c r="D34" s="8"/>
      <c r="E34" s="8"/>
      <c r="F34" s="8"/>
      <c r="G34" s="8"/>
      <c r="H34" s="8"/>
      <c r="I34" s="8"/>
      <c r="J34" s="8"/>
      <c r="K34" s="8"/>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8"/>
      <c r="AN34" s="8"/>
      <c r="AO34" s="8"/>
      <c r="AP34" s="8"/>
      <c r="AQ34" s="8"/>
      <c r="AR34" s="8"/>
      <c r="AS34" s="8"/>
      <c r="AT34" s="8"/>
      <c r="AU34" s="8"/>
      <c r="AV34" s="8"/>
      <c r="AW34" s="8"/>
      <c r="AX34" s="8"/>
      <c r="AY34" s="8"/>
      <c r="AZ34" s="8"/>
      <c r="BA34" s="8"/>
      <c r="BB34" s="8"/>
      <c r="BC34" s="8"/>
      <c r="BD34" s="8"/>
      <c r="BE34" s="8"/>
      <c r="BF34" s="8"/>
      <c r="BG34" s="8"/>
      <c r="BH34" s="8"/>
      <c r="BI34" s="8"/>
      <c r="BJ34" s="8"/>
      <c r="BK34" s="8"/>
      <c r="BL34" s="8"/>
      <c r="BM34" s="8"/>
      <c r="BN34" s="8"/>
      <c r="BO34" s="8"/>
      <c r="BP34" s="8"/>
      <c r="BQ34" s="8"/>
      <c r="BR34" s="8"/>
      <c r="BS34" s="8"/>
      <c r="BT34" s="8"/>
      <c r="BU34" s="8"/>
      <c r="BV34" s="8"/>
      <c r="BW34" s="8"/>
      <c r="BX34" s="8"/>
      <c r="BY34" s="8"/>
      <c r="BZ34" s="8"/>
      <c r="CA34" s="8"/>
      <c r="CB34" s="8"/>
      <c r="CC34" s="8"/>
      <c r="CD34" s="8"/>
      <c r="CE34" s="8"/>
      <c r="CF34" s="8"/>
      <c r="CG34" s="8"/>
      <c r="CH34" s="8"/>
      <c r="CI34" s="8"/>
      <c r="CJ34" s="8"/>
      <c r="CK34" s="8"/>
      <c r="CL34" s="8"/>
      <c r="CM34" s="8"/>
      <c r="CN34" s="8"/>
      <c r="CO34" s="8"/>
      <c r="CP34" s="8"/>
      <c r="CQ34" s="8"/>
      <c r="CR34" s="8"/>
    </row>
    <row r="35" spans="1:96" x14ac:dyDescent="0.25">
      <c r="A35" s="8"/>
      <c r="B35" s="8"/>
      <c r="C35" s="8"/>
      <c r="D35" s="8"/>
      <c r="E35" s="8"/>
      <c r="F35" s="8"/>
      <c r="G35" s="8"/>
      <c r="H35" s="8"/>
      <c r="I35" s="8"/>
      <c r="J35" s="8"/>
      <c r="K35" s="8"/>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8"/>
      <c r="AN35" s="8"/>
      <c r="AO35" s="8"/>
      <c r="AP35" s="8"/>
      <c r="AQ35" s="8"/>
      <c r="AR35" s="8"/>
      <c r="AS35" s="8"/>
      <c r="AT35" s="8"/>
      <c r="AU35" s="8"/>
      <c r="AV35" s="8"/>
      <c r="AW35" s="8"/>
      <c r="AX35" s="8"/>
      <c r="AY35" s="8"/>
      <c r="AZ35" s="8"/>
      <c r="BA35" s="8"/>
      <c r="BB35" s="8"/>
      <c r="BC35" s="8"/>
      <c r="BD35" s="8"/>
      <c r="BE35" s="8"/>
      <c r="BF35" s="8"/>
      <c r="BG35" s="8"/>
      <c r="BH35" s="8"/>
      <c r="BI35" s="8"/>
      <c r="BJ35" s="8"/>
      <c r="BK35" s="8"/>
      <c r="BL35" s="8"/>
      <c r="BM35" s="8"/>
      <c r="BN35" s="8"/>
      <c r="BO35" s="8"/>
      <c r="BP35" s="8"/>
      <c r="BQ35" s="8"/>
      <c r="BR35" s="8"/>
      <c r="BS35" s="8"/>
      <c r="BT35" s="8"/>
      <c r="BU35" s="8"/>
      <c r="BV35" s="8"/>
      <c r="BW35" s="8"/>
      <c r="BX35" s="8"/>
      <c r="BY35" s="8"/>
      <c r="BZ35" s="8"/>
      <c r="CA35" s="8"/>
      <c r="CB35" s="8"/>
      <c r="CC35" s="8"/>
      <c r="CD35" s="8"/>
      <c r="CE35" s="8"/>
      <c r="CF35" s="8"/>
      <c r="CG35" s="8"/>
      <c r="CH35" s="8"/>
      <c r="CI35" s="8"/>
      <c r="CJ35" s="8"/>
      <c r="CK35" s="8"/>
      <c r="CL35" s="8"/>
      <c r="CM35" s="8"/>
      <c r="CN35" s="8"/>
      <c r="CO35" s="8"/>
      <c r="CP35" s="8"/>
      <c r="CQ35" s="8"/>
      <c r="CR35" s="8"/>
    </row>
    <row r="36" spans="1:96" x14ac:dyDescent="0.25">
      <c r="A36" s="8"/>
      <c r="B36" s="8"/>
      <c r="C36" s="8"/>
      <c r="D36" s="8"/>
      <c r="E36" s="8"/>
      <c r="F36" s="8"/>
      <c r="G36" s="8"/>
      <c r="H36" s="8"/>
      <c r="I36" s="8"/>
      <c r="J36" s="8"/>
      <c r="K36" s="8"/>
      <c r="L36" s="8"/>
      <c r="M36" s="8"/>
      <c r="N36" s="8"/>
      <c r="O36" s="8"/>
      <c r="P36" s="8"/>
      <c r="Q36" s="8"/>
      <c r="R36" s="8"/>
      <c r="S36" s="8"/>
      <c r="T36" s="8"/>
      <c r="U36" s="8"/>
      <c r="V36" s="8"/>
      <c r="W36" s="8"/>
      <c r="X36" s="8"/>
      <c r="Y36" s="8"/>
      <c r="Z36" s="8"/>
      <c r="AA36" s="8"/>
      <c r="AB36" s="8"/>
      <c r="AC36" s="8"/>
      <c r="AD36" s="8"/>
      <c r="AE36" s="8"/>
      <c r="AF36" s="8"/>
      <c r="AG36" s="8"/>
      <c r="AH36" s="8"/>
      <c r="AI36" s="8"/>
      <c r="AJ36" s="8"/>
      <c r="AK36" s="8"/>
      <c r="AL36" s="8"/>
      <c r="AM36" s="8"/>
      <c r="AN36" s="8"/>
      <c r="AO36" s="8"/>
      <c r="AP36" s="8"/>
      <c r="AQ36" s="8"/>
      <c r="AR36" s="8"/>
      <c r="AS36" s="8"/>
      <c r="AT36" s="8"/>
      <c r="AU36" s="8"/>
      <c r="AV36" s="8"/>
      <c r="AW36" s="8"/>
      <c r="AX36" s="8"/>
      <c r="AY36" s="8"/>
      <c r="AZ36" s="8"/>
      <c r="BA36" s="8"/>
      <c r="BB36" s="8"/>
      <c r="BC36" s="8"/>
      <c r="BD36" s="8"/>
      <c r="BE36" s="8"/>
      <c r="BF36" s="8"/>
      <c r="BG36" s="8"/>
      <c r="BH36" s="8"/>
      <c r="BI36" s="8"/>
      <c r="BJ36" s="8"/>
      <c r="BK36" s="8"/>
      <c r="BL36" s="8"/>
      <c r="BM36" s="8"/>
      <c r="BN36" s="8"/>
      <c r="BO36" s="8"/>
      <c r="BP36" s="8"/>
      <c r="BQ36" s="8"/>
      <c r="BR36" s="8"/>
      <c r="BS36" s="8"/>
      <c r="BT36" s="8"/>
      <c r="BU36" s="8"/>
      <c r="BV36" s="8"/>
      <c r="BW36" s="8"/>
      <c r="BX36" s="8"/>
      <c r="BY36" s="8"/>
      <c r="BZ36" s="8"/>
      <c r="CA36" s="8"/>
      <c r="CB36" s="8"/>
      <c r="CC36" s="8"/>
      <c r="CD36" s="8"/>
      <c r="CE36" s="8"/>
      <c r="CF36" s="8"/>
      <c r="CG36" s="8"/>
      <c r="CH36" s="8"/>
      <c r="CI36" s="8"/>
      <c r="CJ36" s="8"/>
      <c r="CK36" s="8"/>
      <c r="CL36" s="8"/>
      <c r="CM36" s="8"/>
      <c r="CN36" s="8"/>
      <c r="CO36" s="8"/>
      <c r="CP36" s="8"/>
      <c r="CQ36" s="8"/>
      <c r="CR36" s="8"/>
    </row>
    <row r="37" spans="1:96" x14ac:dyDescent="0.25">
      <c r="A37" s="8"/>
      <c r="B37" s="8"/>
      <c r="C37" s="8"/>
      <c r="D37" s="8"/>
      <c r="E37" s="8"/>
      <c r="F37" s="8"/>
      <c r="G37" s="8"/>
      <c r="H37" s="8"/>
      <c r="I37" s="8"/>
      <c r="J37" s="8"/>
      <c r="K37" s="8"/>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8"/>
      <c r="AM37" s="8"/>
      <c r="AN37" s="8"/>
      <c r="AO37" s="8"/>
      <c r="AP37" s="8"/>
      <c r="AQ37" s="8"/>
      <c r="AR37" s="8"/>
      <c r="AS37" s="8"/>
      <c r="AT37" s="8"/>
      <c r="AU37" s="8"/>
      <c r="AV37" s="8"/>
      <c r="AW37" s="8"/>
      <c r="AX37" s="8"/>
      <c r="AY37" s="8"/>
      <c r="AZ37" s="8"/>
      <c r="BA37" s="8"/>
      <c r="BB37" s="8"/>
      <c r="BC37" s="8"/>
      <c r="BD37" s="8"/>
      <c r="BE37" s="8"/>
      <c r="BF37" s="8"/>
      <c r="BG37" s="8"/>
      <c r="BH37" s="8"/>
      <c r="BI37" s="8"/>
      <c r="BJ37" s="8"/>
      <c r="BK37" s="8"/>
      <c r="BL37" s="8"/>
      <c r="BM37" s="8"/>
      <c r="BN37" s="8"/>
      <c r="BO37" s="8"/>
      <c r="BP37" s="8"/>
      <c r="BQ37" s="8"/>
      <c r="BR37" s="8"/>
      <c r="BS37" s="8"/>
      <c r="BT37" s="8"/>
      <c r="BU37" s="8"/>
      <c r="BV37" s="8"/>
      <c r="BW37" s="8"/>
      <c r="BX37" s="8"/>
      <c r="BY37" s="8"/>
      <c r="BZ37" s="8"/>
      <c r="CA37" s="8"/>
      <c r="CB37" s="8"/>
      <c r="CC37" s="8"/>
      <c r="CD37" s="8"/>
      <c r="CE37" s="8"/>
      <c r="CF37" s="8"/>
      <c r="CG37" s="8"/>
      <c r="CH37" s="8"/>
      <c r="CI37" s="8"/>
      <c r="CJ37" s="8"/>
      <c r="CK37" s="8"/>
      <c r="CL37" s="8"/>
      <c r="CM37" s="8"/>
      <c r="CN37" s="8"/>
      <c r="CO37" s="8"/>
      <c r="CP37" s="8"/>
      <c r="CQ37" s="8"/>
      <c r="CR37" s="8"/>
    </row>
    <row r="38" spans="1:96" x14ac:dyDescent="0.25">
      <c r="A38" s="8"/>
      <c r="B38" s="8"/>
      <c r="C38" s="8"/>
      <c r="D38" s="8"/>
      <c r="E38" s="8"/>
      <c r="F38" s="8"/>
      <c r="G38" s="8"/>
      <c r="H38" s="8"/>
      <c r="I38" s="8"/>
      <c r="J38" s="8"/>
      <c r="K38" s="8"/>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c r="AO38" s="8"/>
      <c r="AP38" s="8"/>
      <c r="AQ38" s="8"/>
      <c r="AR38" s="8"/>
      <c r="AS38" s="8"/>
      <c r="AT38" s="8"/>
      <c r="AU38" s="8"/>
      <c r="AV38" s="8"/>
      <c r="AW38" s="8"/>
      <c r="AX38" s="8"/>
      <c r="AY38" s="8"/>
      <c r="AZ38" s="8"/>
      <c r="BA38" s="8"/>
      <c r="BB38" s="8"/>
      <c r="BC38" s="8"/>
      <c r="BD38" s="8"/>
      <c r="BE38" s="8"/>
      <c r="BF38" s="8"/>
      <c r="BG38" s="8"/>
      <c r="BH38" s="8"/>
      <c r="BI38" s="8"/>
      <c r="BJ38" s="8"/>
      <c r="BK38" s="8"/>
      <c r="BL38" s="8"/>
      <c r="BM38" s="8"/>
      <c r="BN38" s="8"/>
      <c r="BO38" s="8"/>
      <c r="BP38" s="8"/>
      <c r="BQ38" s="8"/>
      <c r="BR38" s="8"/>
      <c r="BS38" s="8"/>
      <c r="BT38" s="8"/>
      <c r="BU38" s="8"/>
      <c r="BV38" s="8"/>
      <c r="BW38" s="8"/>
      <c r="BX38" s="8"/>
      <c r="BY38" s="8"/>
      <c r="BZ38" s="8"/>
      <c r="CA38" s="8"/>
      <c r="CB38" s="8"/>
      <c r="CC38" s="8"/>
      <c r="CD38" s="8"/>
      <c r="CE38" s="8"/>
      <c r="CF38" s="8"/>
      <c r="CG38" s="8"/>
      <c r="CH38" s="8"/>
      <c r="CI38" s="8"/>
      <c r="CJ38" s="8"/>
      <c r="CK38" s="8"/>
      <c r="CL38" s="8"/>
      <c r="CM38" s="8"/>
      <c r="CN38" s="8"/>
      <c r="CO38" s="8"/>
      <c r="CP38" s="8"/>
      <c r="CQ38" s="8"/>
      <c r="CR38" s="8"/>
    </row>
    <row r="39" spans="1:96" x14ac:dyDescent="0.25">
      <c r="A39" s="8"/>
      <c r="B39" s="8"/>
      <c r="C39" s="8"/>
      <c r="D39" s="8"/>
      <c r="E39" s="8"/>
      <c r="F39" s="8"/>
      <c r="G39" s="8"/>
      <c r="H39" s="8"/>
      <c r="I39" s="8"/>
      <c r="J39" s="8"/>
      <c r="K39" s="8"/>
      <c r="L39" s="8"/>
      <c r="M39" s="8"/>
      <c r="N39" s="8"/>
      <c r="O39" s="8"/>
      <c r="P39" s="8"/>
      <c r="Q39" s="8"/>
      <c r="R39" s="8"/>
      <c r="S39" s="8"/>
      <c r="T39" s="8"/>
      <c r="U39" s="8"/>
      <c r="V39" s="8"/>
      <c r="W39" s="8"/>
      <c r="X39" s="8"/>
      <c r="Y39" s="8"/>
      <c r="Z39" s="8"/>
      <c r="AA39" s="8"/>
      <c r="AB39" s="8"/>
      <c r="AC39" s="8"/>
      <c r="AD39" s="8"/>
      <c r="AE39" s="8"/>
      <c r="AF39" s="8"/>
      <c r="AG39" s="8"/>
      <c r="AH39" s="8"/>
      <c r="AI39" s="8"/>
      <c r="AJ39" s="8"/>
      <c r="AK39" s="8"/>
      <c r="AL39" s="8"/>
      <c r="AM39" s="8"/>
      <c r="AN39" s="8"/>
      <c r="AO39" s="8"/>
      <c r="AP39" s="8"/>
      <c r="AQ39" s="8"/>
      <c r="AR39" s="8"/>
      <c r="AS39" s="8"/>
      <c r="AT39" s="8"/>
      <c r="AU39" s="8"/>
      <c r="AV39" s="8"/>
      <c r="AW39" s="8"/>
      <c r="AX39" s="8"/>
      <c r="AY39" s="8"/>
      <c r="AZ39" s="8"/>
      <c r="BA39" s="8"/>
      <c r="BB39" s="8"/>
      <c r="BC39" s="8"/>
      <c r="BD39" s="8"/>
      <c r="BE39" s="8"/>
      <c r="BF39" s="8"/>
      <c r="BG39" s="8"/>
      <c r="BH39" s="8"/>
      <c r="BI39" s="8"/>
      <c r="BJ39" s="8"/>
      <c r="BK39" s="8"/>
      <c r="BL39" s="8"/>
      <c r="BM39" s="8"/>
      <c r="BN39" s="8"/>
      <c r="BO39" s="8"/>
      <c r="BP39" s="8"/>
      <c r="BQ39" s="8"/>
      <c r="BR39" s="8"/>
      <c r="BS39" s="8"/>
      <c r="BT39" s="8"/>
      <c r="BU39" s="8"/>
      <c r="BV39" s="8"/>
      <c r="BW39" s="8"/>
      <c r="BX39" s="8"/>
      <c r="BY39" s="8"/>
      <c r="BZ39" s="8"/>
      <c r="CA39" s="8"/>
      <c r="CB39" s="8"/>
      <c r="CC39" s="8"/>
      <c r="CD39" s="8"/>
      <c r="CE39" s="8"/>
      <c r="CF39" s="8"/>
      <c r="CG39" s="8"/>
      <c r="CH39" s="8"/>
      <c r="CI39" s="8"/>
      <c r="CJ39" s="8"/>
      <c r="CK39" s="8"/>
      <c r="CL39" s="8"/>
      <c r="CM39" s="8"/>
      <c r="CN39" s="8"/>
      <c r="CO39" s="8"/>
      <c r="CP39" s="8"/>
      <c r="CQ39" s="8"/>
      <c r="CR39" s="8"/>
    </row>
    <row r="40" spans="1:96" x14ac:dyDescent="0.25">
      <c r="A40" s="8"/>
      <c r="B40" s="8"/>
      <c r="C40" s="8"/>
      <c r="D40" s="8"/>
      <c r="E40" s="8"/>
      <c r="F40" s="8"/>
      <c r="G40" s="8"/>
      <c r="H40" s="8"/>
      <c r="I40" s="8"/>
      <c r="J40" s="8"/>
      <c r="K40" s="8"/>
      <c r="L40" s="8"/>
      <c r="M40" s="8"/>
      <c r="N40" s="8"/>
      <c r="O40" s="8"/>
      <c r="P40" s="8"/>
      <c r="Q40" s="8"/>
      <c r="R40" s="8"/>
      <c r="S40" s="8"/>
      <c r="T40" s="8"/>
      <c r="U40" s="8"/>
      <c r="V40" s="8"/>
      <c r="W40" s="8"/>
      <c r="X40" s="8"/>
      <c r="Y40" s="8"/>
      <c r="Z40" s="8"/>
      <c r="AA40" s="8"/>
      <c r="AB40" s="8"/>
      <c r="AC40" s="8"/>
      <c r="AD40" s="8"/>
      <c r="AE40" s="8"/>
      <c r="AF40" s="8"/>
      <c r="AG40" s="8"/>
      <c r="AH40" s="8"/>
      <c r="AI40" s="8"/>
      <c r="AJ40" s="8"/>
      <c r="AK40" s="8"/>
      <c r="AL40" s="8"/>
      <c r="AM40" s="8"/>
      <c r="AN40" s="8"/>
      <c r="AO40" s="8"/>
      <c r="AP40" s="8"/>
      <c r="AQ40" s="8"/>
      <c r="AR40" s="8"/>
      <c r="AS40" s="8"/>
      <c r="AT40" s="8"/>
      <c r="AU40" s="8"/>
      <c r="AV40" s="8"/>
      <c r="AW40" s="8"/>
      <c r="AX40" s="8"/>
      <c r="AY40" s="8"/>
      <c r="AZ40" s="8"/>
      <c r="BA40" s="8"/>
      <c r="BB40" s="8"/>
      <c r="BC40" s="8"/>
      <c r="BD40" s="8"/>
      <c r="BE40" s="8"/>
      <c r="BF40" s="8"/>
      <c r="BG40" s="8"/>
      <c r="BH40" s="8"/>
      <c r="BI40" s="8"/>
      <c r="BJ40" s="8"/>
      <c r="BK40" s="8"/>
      <c r="BL40" s="8"/>
      <c r="BM40" s="8"/>
      <c r="BN40" s="8"/>
      <c r="BO40" s="8"/>
      <c r="BP40" s="8"/>
      <c r="BQ40" s="8"/>
      <c r="BR40" s="8"/>
      <c r="BS40" s="8"/>
      <c r="BT40" s="8"/>
      <c r="BU40" s="8"/>
      <c r="BV40" s="8"/>
      <c r="BW40" s="8"/>
      <c r="BX40" s="8"/>
      <c r="BY40" s="8"/>
      <c r="BZ40" s="8"/>
      <c r="CA40" s="8"/>
      <c r="CB40" s="8"/>
      <c r="CC40" s="8"/>
      <c r="CD40" s="8"/>
      <c r="CE40" s="8"/>
      <c r="CF40" s="8"/>
      <c r="CG40" s="8"/>
      <c r="CH40" s="8"/>
      <c r="CI40" s="8"/>
      <c r="CJ40" s="8"/>
      <c r="CK40" s="8"/>
      <c r="CL40" s="8"/>
      <c r="CM40" s="8"/>
      <c r="CN40" s="8"/>
      <c r="CO40" s="8"/>
      <c r="CP40" s="8"/>
      <c r="CQ40" s="8"/>
      <c r="CR40" s="8"/>
    </row>
    <row r="41" spans="1:96" x14ac:dyDescent="0.25">
      <c r="A41" s="8"/>
      <c r="B41" s="8"/>
      <c r="C41" s="8"/>
      <c r="D41" s="8"/>
      <c r="E41" s="8"/>
      <c r="F41" s="8"/>
      <c r="G41" s="8"/>
      <c r="H41" s="8"/>
      <c r="I41" s="8"/>
      <c r="J41" s="8"/>
      <c r="K41" s="8"/>
      <c r="L41" s="8"/>
      <c r="M41" s="8"/>
      <c r="N41" s="8"/>
      <c r="O41" s="8"/>
      <c r="P41" s="8"/>
      <c r="Q41" s="8"/>
      <c r="R41" s="8"/>
      <c r="S41" s="8"/>
      <c r="T41" s="8"/>
      <c r="U41" s="8"/>
      <c r="V41" s="8"/>
      <c r="W41" s="8"/>
      <c r="X41" s="8"/>
      <c r="Y41" s="8"/>
      <c r="Z41" s="8"/>
      <c r="AA41" s="8"/>
      <c r="AB41" s="8"/>
      <c r="AC41" s="8"/>
      <c r="AD41" s="8"/>
      <c r="AE41" s="8"/>
      <c r="AF41" s="8"/>
      <c r="AG41" s="8"/>
      <c r="AH41" s="8"/>
      <c r="AI41" s="8"/>
      <c r="AJ41" s="8"/>
      <c r="AK41" s="8"/>
      <c r="AL41" s="8"/>
      <c r="AM41" s="8"/>
      <c r="AN41" s="8"/>
      <c r="AO41" s="8"/>
      <c r="AP41" s="8"/>
      <c r="AQ41" s="8"/>
      <c r="AR41" s="8"/>
      <c r="AS41" s="8"/>
      <c r="AT41" s="8"/>
      <c r="AU41" s="8"/>
      <c r="AV41" s="8"/>
      <c r="AW41" s="8"/>
      <c r="AX41" s="8"/>
      <c r="AY41" s="8"/>
      <c r="AZ41" s="8"/>
      <c r="BA41" s="8"/>
      <c r="BB41" s="8"/>
      <c r="BC41" s="8"/>
      <c r="BD41" s="8"/>
      <c r="BE41" s="8"/>
      <c r="BF41" s="8"/>
      <c r="BG41" s="8"/>
      <c r="BH41" s="8"/>
      <c r="BI41" s="8"/>
      <c r="BJ41" s="8"/>
      <c r="BK41" s="8"/>
      <c r="BL41" s="8"/>
      <c r="BM41" s="8"/>
      <c r="BN41" s="8"/>
      <c r="BO41" s="8"/>
      <c r="BP41" s="8"/>
      <c r="BQ41" s="8"/>
      <c r="BR41" s="8"/>
      <c r="BS41" s="8"/>
      <c r="BT41" s="8"/>
      <c r="BU41" s="8"/>
      <c r="BV41" s="8"/>
      <c r="BW41" s="8"/>
      <c r="BX41" s="8"/>
      <c r="BY41" s="8"/>
      <c r="BZ41" s="8"/>
      <c r="CA41" s="8"/>
      <c r="CB41" s="8"/>
      <c r="CC41" s="8"/>
      <c r="CD41" s="8"/>
      <c r="CE41" s="8"/>
      <c r="CF41" s="8"/>
      <c r="CG41" s="8"/>
      <c r="CH41" s="8"/>
      <c r="CI41" s="8"/>
      <c r="CJ41" s="8"/>
      <c r="CK41" s="8"/>
      <c r="CL41" s="8"/>
      <c r="CM41" s="8"/>
      <c r="CN41" s="8"/>
      <c r="CO41" s="8"/>
      <c r="CP41" s="8"/>
      <c r="CQ41" s="8"/>
      <c r="CR41" s="8"/>
    </row>
    <row r="42" spans="1:96" x14ac:dyDescent="0.25">
      <c r="A42" s="8"/>
      <c r="B42" s="8"/>
      <c r="C42" s="8"/>
      <c r="D42" s="8"/>
      <c r="E42" s="8"/>
      <c r="F42" s="8"/>
      <c r="G42" s="8"/>
      <c r="H42" s="8"/>
      <c r="I42" s="8"/>
      <c r="J42" s="8"/>
      <c r="K42" s="8"/>
      <c r="L42" s="8"/>
      <c r="M42" s="8"/>
      <c r="N42" s="8"/>
      <c r="O42" s="8"/>
      <c r="P42" s="8"/>
      <c r="Q42" s="8"/>
      <c r="R42" s="8"/>
      <c r="S42" s="8"/>
      <c r="T42" s="8"/>
      <c r="U42" s="8"/>
      <c r="V42" s="8"/>
      <c r="W42" s="8"/>
      <c r="X42" s="8"/>
      <c r="Y42" s="8"/>
      <c r="Z42" s="8"/>
      <c r="AA42" s="8"/>
      <c r="AB42" s="8"/>
      <c r="AC42" s="8"/>
      <c r="AD42" s="8"/>
      <c r="AE42" s="8"/>
      <c r="AF42" s="8"/>
      <c r="AG42" s="8"/>
      <c r="AH42" s="8"/>
      <c r="AI42" s="8"/>
      <c r="AJ42" s="8"/>
      <c r="AK42" s="8"/>
      <c r="AL42" s="8"/>
      <c r="AM42" s="8"/>
      <c r="AN42" s="8"/>
      <c r="AO42" s="8"/>
      <c r="AP42" s="8"/>
      <c r="AQ42" s="8"/>
      <c r="AR42" s="8"/>
      <c r="AS42" s="8"/>
      <c r="AT42" s="8"/>
      <c r="AU42" s="8"/>
      <c r="AV42" s="8"/>
      <c r="AW42" s="8"/>
      <c r="AX42" s="8"/>
      <c r="AY42" s="8"/>
      <c r="AZ42" s="8"/>
      <c r="BA42" s="8"/>
      <c r="BB42" s="8"/>
      <c r="BC42" s="8"/>
      <c r="BD42" s="8"/>
      <c r="BE42" s="8"/>
      <c r="BF42" s="8"/>
      <c r="BG42" s="8"/>
      <c r="BH42" s="8"/>
      <c r="BI42" s="8"/>
      <c r="BJ42" s="8"/>
      <c r="BK42" s="8"/>
      <c r="BL42" s="8"/>
      <c r="BM42" s="8"/>
      <c r="BN42" s="8"/>
      <c r="BO42" s="8"/>
      <c r="BP42" s="8"/>
      <c r="BQ42" s="8"/>
      <c r="BR42" s="8"/>
      <c r="BS42" s="8"/>
      <c r="BT42" s="8"/>
      <c r="BU42" s="8"/>
      <c r="BV42" s="8"/>
      <c r="BW42" s="8"/>
      <c r="BX42" s="8"/>
      <c r="BY42" s="8"/>
      <c r="BZ42" s="8"/>
      <c r="CA42" s="8"/>
      <c r="CB42" s="8"/>
      <c r="CC42" s="8"/>
      <c r="CD42" s="8"/>
      <c r="CE42" s="8"/>
      <c r="CF42" s="8"/>
      <c r="CG42" s="8"/>
      <c r="CH42" s="8"/>
      <c r="CI42" s="8"/>
      <c r="CJ42" s="8"/>
      <c r="CK42" s="8"/>
      <c r="CL42" s="8"/>
      <c r="CM42" s="8"/>
      <c r="CN42" s="8"/>
      <c r="CO42" s="8"/>
      <c r="CP42" s="8"/>
      <c r="CQ42" s="8"/>
      <c r="CR42" s="8"/>
    </row>
    <row r="43" spans="1:96" x14ac:dyDescent="0.25">
      <c r="A43" s="8"/>
      <c r="B43" s="8"/>
      <c r="C43" s="8"/>
      <c r="D43" s="8"/>
      <c r="E43" s="8"/>
      <c r="F43" s="8"/>
      <c r="G43" s="8"/>
      <c r="H43" s="8"/>
      <c r="I43" s="8"/>
      <c r="J43" s="8"/>
      <c r="K43" s="8"/>
      <c r="L43" s="8"/>
      <c r="M43" s="8"/>
      <c r="N43" s="8"/>
      <c r="O43" s="8"/>
      <c r="P43" s="8"/>
      <c r="Q43" s="8"/>
      <c r="R43" s="8"/>
      <c r="S43" s="8"/>
      <c r="T43" s="8"/>
      <c r="U43" s="8"/>
      <c r="V43" s="8"/>
      <c r="W43" s="8"/>
      <c r="X43" s="8"/>
      <c r="Y43" s="8"/>
      <c r="Z43" s="8"/>
      <c r="AA43" s="8"/>
      <c r="AB43" s="8"/>
      <c r="AC43" s="8"/>
      <c r="AD43" s="8"/>
      <c r="AE43" s="8"/>
      <c r="AF43" s="8"/>
      <c r="AG43" s="8"/>
      <c r="AH43" s="8"/>
      <c r="AI43" s="8"/>
      <c r="AJ43" s="8"/>
      <c r="AK43" s="8"/>
      <c r="AL43" s="8"/>
      <c r="AM43" s="8"/>
      <c r="AN43" s="8"/>
      <c r="AO43" s="8"/>
      <c r="AP43" s="8"/>
      <c r="AQ43" s="8"/>
      <c r="AR43" s="8"/>
      <c r="AS43" s="8"/>
      <c r="AT43" s="8"/>
      <c r="AU43" s="8"/>
      <c r="AV43" s="8"/>
      <c r="AW43" s="8"/>
      <c r="AX43" s="8"/>
      <c r="AY43" s="8"/>
      <c r="AZ43" s="8"/>
      <c r="BA43" s="8"/>
      <c r="BB43" s="8"/>
      <c r="BC43" s="8"/>
      <c r="BD43" s="8"/>
      <c r="BE43" s="8"/>
      <c r="BF43" s="8"/>
      <c r="BG43" s="8"/>
      <c r="BH43" s="8"/>
      <c r="BI43" s="8"/>
      <c r="BJ43" s="8"/>
      <c r="BK43" s="8"/>
      <c r="BL43" s="8"/>
      <c r="BM43" s="8"/>
      <c r="BN43" s="8"/>
      <c r="BO43" s="8"/>
      <c r="BP43" s="8"/>
      <c r="BQ43" s="8"/>
      <c r="BR43" s="8"/>
      <c r="BS43" s="8"/>
      <c r="BT43" s="8"/>
      <c r="BU43" s="8"/>
      <c r="BV43" s="8"/>
      <c r="BW43" s="8"/>
      <c r="BX43" s="8"/>
      <c r="BY43" s="8"/>
      <c r="BZ43" s="8"/>
      <c r="CA43" s="8"/>
      <c r="CB43" s="8"/>
      <c r="CC43" s="8"/>
      <c r="CD43" s="8"/>
      <c r="CE43" s="8"/>
      <c r="CF43" s="8"/>
      <c r="CG43" s="8"/>
      <c r="CH43" s="8"/>
      <c r="CI43" s="8"/>
      <c r="CJ43" s="8"/>
      <c r="CK43" s="8"/>
      <c r="CL43" s="8"/>
      <c r="CM43" s="8"/>
      <c r="CN43" s="8"/>
      <c r="CO43" s="8"/>
      <c r="CP43" s="8"/>
      <c r="CQ43" s="8"/>
      <c r="CR43" s="8"/>
    </row>
    <row r="44" spans="1:96" x14ac:dyDescent="0.25">
      <c r="A44" s="8"/>
      <c r="B44" s="8"/>
      <c r="C44" s="8"/>
      <c r="D44" s="8"/>
      <c r="E44" s="8"/>
      <c r="F44" s="8"/>
      <c r="G44" s="8"/>
      <c r="H44" s="8"/>
      <c r="I44" s="8"/>
      <c r="J44" s="8"/>
      <c r="K44" s="8"/>
      <c r="L44" s="8"/>
      <c r="M44" s="8"/>
      <c r="N44" s="8"/>
      <c r="O44" s="8"/>
      <c r="P44" s="8"/>
      <c r="Q44" s="8"/>
      <c r="R44" s="8"/>
      <c r="S44" s="8"/>
      <c r="T44" s="8"/>
      <c r="U44" s="8"/>
      <c r="V44" s="8"/>
      <c r="W44" s="8"/>
      <c r="X44" s="8"/>
      <c r="Y44" s="8"/>
      <c r="Z44" s="8"/>
      <c r="AA44" s="8"/>
      <c r="AB44" s="8"/>
      <c r="AC44" s="8"/>
      <c r="AD44" s="8"/>
      <c r="AE44" s="8"/>
      <c r="AF44" s="8"/>
      <c r="AG44" s="8"/>
      <c r="AH44" s="8"/>
      <c r="AI44" s="8"/>
      <c r="AJ44" s="8"/>
      <c r="AK44" s="8"/>
      <c r="AL44" s="8"/>
      <c r="AM44" s="8"/>
      <c r="AN44" s="8"/>
      <c r="AO44" s="8"/>
      <c r="AP44" s="8"/>
      <c r="AQ44" s="8"/>
      <c r="AR44" s="8"/>
      <c r="AS44" s="8"/>
      <c r="AT44" s="8"/>
      <c r="AU44" s="8"/>
      <c r="AV44" s="8"/>
      <c r="AW44" s="8"/>
      <c r="AX44" s="8"/>
      <c r="AY44" s="8"/>
      <c r="AZ44" s="8"/>
      <c r="BA44" s="8"/>
      <c r="BB44" s="8"/>
      <c r="BC44" s="8"/>
      <c r="BD44" s="8"/>
      <c r="BE44" s="8"/>
      <c r="BF44" s="8"/>
      <c r="BG44" s="8"/>
      <c r="BH44" s="8"/>
      <c r="BI44" s="8"/>
      <c r="BJ44" s="8"/>
      <c r="BK44" s="8"/>
      <c r="BL44" s="8"/>
      <c r="BM44" s="8"/>
      <c r="BN44" s="8"/>
      <c r="BO44" s="8"/>
      <c r="BP44" s="8"/>
      <c r="BQ44" s="8"/>
      <c r="BR44" s="8"/>
      <c r="BS44" s="8"/>
      <c r="BT44" s="8"/>
      <c r="BU44" s="8"/>
      <c r="BV44" s="8"/>
      <c r="BW44" s="8"/>
      <c r="BX44" s="8"/>
      <c r="BY44" s="8"/>
      <c r="BZ44" s="8"/>
      <c r="CA44" s="8"/>
      <c r="CB44" s="8"/>
      <c r="CC44" s="8"/>
      <c r="CD44" s="8"/>
      <c r="CE44" s="8"/>
      <c r="CF44" s="8"/>
      <c r="CG44" s="8"/>
      <c r="CH44" s="8"/>
      <c r="CI44" s="8"/>
      <c r="CJ44" s="8"/>
      <c r="CK44" s="8"/>
      <c r="CL44" s="8"/>
      <c r="CM44" s="8"/>
      <c r="CN44" s="8"/>
      <c r="CO44" s="8"/>
      <c r="CP44" s="8"/>
      <c r="CQ44" s="8"/>
      <c r="CR44" s="8"/>
    </row>
    <row r="45" spans="1:96" x14ac:dyDescent="0.25">
      <c r="A45" s="8"/>
      <c r="B45" s="8"/>
      <c r="C45" s="8"/>
      <c r="D45" s="8"/>
      <c r="E45" s="8"/>
      <c r="F45" s="8"/>
      <c r="G45" s="8"/>
      <c r="H45" s="8"/>
      <c r="I45" s="8"/>
      <c r="J45" s="8"/>
      <c r="K45" s="8"/>
      <c r="L45" s="8"/>
      <c r="M45" s="8"/>
      <c r="N45" s="8"/>
      <c r="O45" s="8"/>
      <c r="P45" s="8"/>
      <c r="Q45" s="8"/>
      <c r="R45" s="8"/>
      <c r="S45" s="8"/>
      <c r="T45" s="8"/>
      <c r="U45" s="8"/>
      <c r="V45" s="8"/>
      <c r="W45" s="8"/>
      <c r="X45" s="8"/>
      <c r="Y45" s="8"/>
      <c r="Z45" s="8"/>
      <c r="AA45" s="8"/>
      <c r="AB45" s="8"/>
      <c r="AC45" s="8"/>
      <c r="AD45" s="8"/>
      <c r="AE45" s="8"/>
      <c r="AF45" s="8"/>
      <c r="AG45" s="8"/>
      <c r="AH45" s="8"/>
      <c r="AI45" s="8"/>
      <c r="AJ45" s="8"/>
      <c r="AK45" s="8"/>
      <c r="AL45" s="8"/>
      <c r="AM45" s="8"/>
      <c r="AN45" s="8"/>
      <c r="AO45" s="8"/>
      <c r="AP45" s="8"/>
      <c r="AQ45" s="8"/>
      <c r="AR45" s="8"/>
      <c r="AS45" s="8"/>
      <c r="AT45" s="8"/>
      <c r="AU45" s="8"/>
      <c r="AV45" s="8"/>
      <c r="AW45" s="8"/>
      <c r="AX45" s="8"/>
      <c r="AY45" s="8"/>
      <c r="AZ45" s="8"/>
      <c r="BA45" s="8"/>
      <c r="BB45" s="8"/>
      <c r="BC45" s="8"/>
      <c r="BD45" s="8"/>
      <c r="BE45" s="8"/>
      <c r="BF45" s="8"/>
      <c r="BG45" s="8"/>
      <c r="BH45" s="8"/>
      <c r="BI45" s="8"/>
      <c r="BJ45" s="8"/>
      <c r="BK45" s="8"/>
      <c r="BL45" s="8"/>
      <c r="BM45" s="8"/>
      <c r="BN45" s="8"/>
      <c r="BO45" s="8"/>
      <c r="BP45" s="8"/>
      <c r="BQ45" s="8"/>
      <c r="BR45" s="8"/>
      <c r="BS45" s="8"/>
      <c r="BT45" s="8"/>
      <c r="BU45" s="8"/>
      <c r="BV45" s="8"/>
      <c r="BW45" s="8"/>
      <c r="BX45" s="8"/>
      <c r="BY45" s="8"/>
      <c r="BZ45" s="8"/>
      <c r="CA45" s="8"/>
      <c r="CB45" s="8"/>
      <c r="CC45" s="8"/>
      <c r="CD45" s="8"/>
      <c r="CE45" s="8"/>
      <c r="CF45" s="8"/>
      <c r="CG45" s="8"/>
      <c r="CH45" s="8"/>
      <c r="CI45" s="8"/>
      <c r="CJ45" s="8"/>
      <c r="CK45" s="8"/>
      <c r="CL45" s="8"/>
      <c r="CM45" s="8"/>
      <c r="CN45" s="8"/>
      <c r="CO45" s="8"/>
      <c r="CP45" s="8"/>
      <c r="CQ45" s="8"/>
      <c r="CR45" s="8"/>
    </row>
    <row r="46" spans="1:96" x14ac:dyDescent="0.25">
      <c r="A46" s="8"/>
      <c r="B46" s="8"/>
      <c r="C46" s="8"/>
      <c r="D46" s="8"/>
      <c r="E46" s="8"/>
      <c r="F46" s="8"/>
      <c r="G46" s="8"/>
      <c r="H46" s="8"/>
      <c r="I46" s="8"/>
      <c r="J46" s="8"/>
      <c r="K46" s="8"/>
      <c r="L46" s="8"/>
      <c r="M46" s="8"/>
      <c r="N46" s="8"/>
      <c r="O46" s="8"/>
      <c r="P46" s="8"/>
      <c r="Q46" s="8"/>
      <c r="R46" s="8"/>
      <c r="S46" s="8"/>
      <c r="T46" s="8"/>
      <c r="U46" s="8"/>
      <c r="V46" s="8"/>
      <c r="W46" s="8"/>
      <c r="X46" s="8"/>
      <c r="Y46" s="8"/>
      <c r="Z46" s="8"/>
      <c r="AA46" s="8"/>
      <c r="AB46" s="8"/>
      <c r="AC46" s="8"/>
      <c r="AD46" s="8"/>
      <c r="AE46" s="8"/>
      <c r="AF46" s="8"/>
      <c r="AG46" s="8"/>
      <c r="AH46" s="8"/>
      <c r="AI46" s="8"/>
      <c r="AJ46" s="8"/>
      <c r="AK46" s="8"/>
      <c r="AL46" s="8"/>
      <c r="AM46" s="8"/>
      <c r="AN46" s="8"/>
      <c r="AO46" s="8"/>
      <c r="AP46" s="8"/>
      <c r="AQ46" s="8"/>
      <c r="AR46" s="8"/>
      <c r="AS46" s="8"/>
      <c r="AT46" s="8"/>
      <c r="AU46" s="8"/>
      <c r="AV46" s="8"/>
      <c r="AW46" s="8"/>
      <c r="AX46" s="8"/>
      <c r="AY46" s="8"/>
      <c r="AZ46" s="8"/>
      <c r="BA46" s="8"/>
      <c r="BB46" s="8"/>
      <c r="BC46" s="8"/>
      <c r="BD46" s="8"/>
      <c r="BE46" s="8"/>
      <c r="BF46" s="8"/>
      <c r="BG46" s="8"/>
      <c r="BH46" s="8"/>
      <c r="BI46" s="8"/>
      <c r="BJ46" s="8"/>
      <c r="BK46" s="8"/>
      <c r="BL46" s="8"/>
      <c r="BM46" s="8"/>
      <c r="BN46" s="8"/>
      <c r="BO46" s="8"/>
      <c r="BP46" s="8"/>
      <c r="BQ46" s="8"/>
      <c r="BR46" s="8"/>
      <c r="BS46" s="8"/>
      <c r="BT46" s="8"/>
      <c r="BU46" s="8"/>
      <c r="BV46" s="8"/>
      <c r="BW46" s="8"/>
      <c r="BX46" s="8"/>
      <c r="BY46" s="8"/>
      <c r="BZ46" s="8"/>
      <c r="CA46" s="8"/>
      <c r="CB46" s="8"/>
      <c r="CC46" s="8"/>
      <c r="CD46" s="8"/>
      <c r="CE46" s="8"/>
      <c r="CF46" s="8"/>
      <c r="CG46" s="8"/>
      <c r="CH46" s="8"/>
      <c r="CI46" s="8"/>
      <c r="CJ46" s="8"/>
      <c r="CK46" s="8"/>
      <c r="CL46" s="8"/>
      <c r="CM46" s="8"/>
      <c r="CN46" s="8"/>
      <c r="CO46" s="8"/>
      <c r="CP46" s="8"/>
      <c r="CQ46" s="8"/>
      <c r="CR46" s="8"/>
    </row>
    <row r="47" spans="1:96" x14ac:dyDescent="0.25">
      <c r="A47" s="8"/>
      <c r="B47" s="8"/>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8"/>
      <c r="BA47" s="8"/>
      <c r="BB47" s="8"/>
      <c r="BC47" s="8"/>
      <c r="BD47" s="8"/>
      <c r="BE47" s="8"/>
      <c r="BF47" s="8"/>
      <c r="BG47" s="8"/>
      <c r="BH47" s="8"/>
      <c r="BI47" s="8"/>
      <c r="BJ47" s="8"/>
      <c r="BK47" s="8"/>
      <c r="BL47" s="8"/>
      <c r="BM47" s="8"/>
      <c r="BN47" s="8"/>
      <c r="BO47" s="8"/>
      <c r="BP47" s="8"/>
      <c r="BQ47" s="8"/>
      <c r="BR47" s="8"/>
      <c r="BS47" s="8"/>
      <c r="BT47" s="8"/>
      <c r="BU47" s="8"/>
      <c r="BV47" s="8"/>
      <c r="BW47" s="8"/>
      <c r="BX47" s="8"/>
      <c r="BY47" s="8"/>
      <c r="BZ47" s="8"/>
      <c r="CA47" s="8"/>
      <c r="CB47" s="8"/>
      <c r="CC47" s="8"/>
      <c r="CD47" s="8"/>
      <c r="CE47" s="8"/>
      <c r="CF47" s="8"/>
      <c r="CG47" s="8"/>
      <c r="CH47" s="8"/>
      <c r="CI47" s="8"/>
      <c r="CJ47" s="8"/>
      <c r="CK47" s="8"/>
      <c r="CL47" s="8"/>
      <c r="CM47" s="8"/>
      <c r="CN47" s="8"/>
      <c r="CO47" s="8"/>
      <c r="CP47" s="8"/>
      <c r="CQ47" s="8"/>
      <c r="CR47" s="8"/>
    </row>
    <row r="48" spans="1:96" x14ac:dyDescent="0.25">
      <c r="A48" s="8"/>
      <c r="B48" s="8"/>
      <c r="C48" s="8"/>
      <c r="D48" s="8"/>
      <c r="E48" s="8"/>
      <c r="F48" s="8"/>
      <c r="G48" s="8"/>
      <c r="H48" s="8"/>
      <c r="I48" s="8"/>
      <c r="J48" s="8"/>
      <c r="K48" s="8"/>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c r="AO48" s="8"/>
      <c r="AP48" s="8"/>
      <c r="AQ48" s="8"/>
      <c r="AR48" s="8"/>
      <c r="AS48" s="8"/>
      <c r="AT48" s="8"/>
      <c r="AU48" s="8"/>
      <c r="AV48" s="8"/>
      <c r="AW48" s="8"/>
      <c r="AX48" s="8"/>
      <c r="AY48" s="8"/>
      <c r="AZ48" s="8"/>
      <c r="BA48" s="8"/>
      <c r="BB48" s="8"/>
      <c r="BC48" s="8"/>
      <c r="BD48" s="8"/>
      <c r="BE48" s="8"/>
      <c r="BF48" s="8"/>
      <c r="BG48" s="8"/>
      <c r="BH48" s="8"/>
      <c r="BI48" s="8"/>
      <c r="BJ48" s="8"/>
      <c r="BK48" s="8"/>
      <c r="BL48" s="8"/>
      <c r="BM48" s="8"/>
      <c r="BN48" s="8"/>
      <c r="BO48" s="8"/>
      <c r="BP48" s="8"/>
      <c r="BQ48" s="8"/>
      <c r="BR48" s="8"/>
      <c r="BS48" s="8"/>
      <c r="BT48" s="8"/>
      <c r="BU48" s="8"/>
      <c r="BV48" s="8"/>
      <c r="BW48" s="8"/>
      <c r="BX48" s="8"/>
      <c r="BY48" s="8"/>
      <c r="BZ48" s="8"/>
      <c r="CA48" s="8"/>
      <c r="CB48" s="8"/>
      <c r="CC48" s="8"/>
      <c r="CD48" s="8"/>
      <c r="CE48" s="8"/>
      <c r="CF48" s="8"/>
      <c r="CG48" s="8"/>
      <c r="CH48" s="8"/>
      <c r="CI48" s="8"/>
      <c r="CJ48" s="8"/>
      <c r="CK48" s="8"/>
      <c r="CL48" s="8"/>
      <c r="CM48" s="8"/>
      <c r="CN48" s="8"/>
      <c r="CO48" s="8"/>
      <c r="CP48" s="8"/>
      <c r="CQ48" s="8"/>
      <c r="CR48" s="8"/>
    </row>
    <row r="49" spans="1:96" x14ac:dyDescent="0.25">
      <c r="A49" s="8"/>
      <c r="B49" s="8"/>
      <c r="C49" s="8"/>
      <c r="D49" s="8"/>
      <c r="E49" s="8"/>
      <c r="F49" s="8"/>
      <c r="G49" s="8"/>
      <c r="H49" s="8"/>
      <c r="I49" s="8"/>
      <c r="J49" s="8"/>
      <c r="K49" s="8"/>
      <c r="L49" s="8"/>
      <c r="M49" s="8"/>
      <c r="N49" s="8"/>
      <c r="O49" s="8"/>
      <c r="P49" s="8"/>
      <c r="Q49" s="8"/>
      <c r="R49" s="8"/>
      <c r="S49" s="8"/>
      <c r="T49" s="8"/>
      <c r="U49" s="8"/>
      <c r="V49" s="8"/>
      <c r="W49" s="8"/>
      <c r="X49" s="8"/>
      <c r="Y49" s="8"/>
      <c r="Z49" s="8"/>
      <c r="AA49" s="8"/>
      <c r="AB49" s="8"/>
      <c r="AC49" s="8"/>
      <c r="AD49" s="8"/>
      <c r="AE49" s="8"/>
      <c r="AF49" s="8"/>
      <c r="AG49" s="8"/>
      <c r="AH49" s="8"/>
      <c r="AI49" s="8"/>
      <c r="AJ49" s="8"/>
      <c r="AK49" s="8"/>
      <c r="AL49" s="8"/>
      <c r="AM49" s="8"/>
      <c r="AN49" s="8"/>
      <c r="AO49" s="8"/>
      <c r="AP49" s="8"/>
      <c r="AQ49" s="8"/>
      <c r="AR49" s="8"/>
      <c r="AS49" s="8"/>
      <c r="AT49" s="8"/>
      <c r="AU49" s="8"/>
      <c r="AV49" s="8"/>
      <c r="AW49" s="8"/>
      <c r="AX49" s="8"/>
      <c r="AY49" s="8"/>
      <c r="AZ49" s="8"/>
      <c r="BA49" s="8"/>
      <c r="BB49" s="8"/>
      <c r="BC49" s="8"/>
      <c r="BD49" s="8"/>
      <c r="BE49" s="8"/>
      <c r="BF49" s="8"/>
      <c r="BG49" s="8"/>
      <c r="BH49" s="8"/>
      <c r="BI49" s="8"/>
      <c r="BJ49" s="8"/>
      <c r="BK49" s="8"/>
      <c r="BL49" s="8"/>
      <c r="BM49" s="8"/>
      <c r="BN49" s="8"/>
      <c r="BO49" s="8"/>
      <c r="BP49" s="8"/>
      <c r="BQ49" s="8"/>
      <c r="BR49" s="8"/>
      <c r="BS49" s="8"/>
      <c r="BT49" s="8"/>
      <c r="BU49" s="8"/>
      <c r="BV49" s="8"/>
      <c r="BW49" s="8"/>
      <c r="BX49" s="8"/>
      <c r="BY49" s="8"/>
      <c r="BZ49" s="8"/>
      <c r="CA49" s="8"/>
      <c r="CB49" s="8"/>
      <c r="CC49" s="8"/>
      <c r="CD49" s="8"/>
      <c r="CE49" s="8"/>
      <c r="CF49" s="8"/>
      <c r="CG49" s="8"/>
      <c r="CH49" s="8"/>
      <c r="CI49" s="8"/>
      <c r="CJ49" s="8"/>
      <c r="CK49" s="8"/>
      <c r="CL49" s="8"/>
      <c r="CM49" s="8"/>
      <c r="CN49" s="8"/>
      <c r="CO49" s="8"/>
      <c r="CP49" s="8"/>
      <c r="CQ49" s="8"/>
      <c r="CR49" s="8"/>
    </row>
    <row r="50" spans="1:96" x14ac:dyDescent="0.25">
      <c r="A50" s="8"/>
      <c r="B50" s="8"/>
      <c r="C50" s="8"/>
      <c r="D50" s="8"/>
      <c r="E50" s="8"/>
      <c r="F50" s="8"/>
      <c r="G50" s="8"/>
      <c r="H50" s="8"/>
      <c r="I50" s="8"/>
      <c r="J50" s="8"/>
      <c r="K50" s="8"/>
      <c r="L50" s="8"/>
      <c r="M50" s="8"/>
      <c r="N50" s="8"/>
      <c r="O50" s="8"/>
      <c r="P50" s="8"/>
      <c r="Q50" s="8"/>
      <c r="R50" s="8"/>
      <c r="S50" s="8"/>
      <c r="T50" s="8"/>
      <c r="U50" s="8"/>
      <c r="V50" s="8"/>
      <c r="W50" s="8"/>
      <c r="X50" s="8"/>
      <c r="Y50" s="8"/>
      <c r="Z50" s="8"/>
      <c r="AA50" s="8"/>
      <c r="AB50" s="8"/>
      <c r="AC50" s="8"/>
      <c r="AD50" s="8"/>
      <c r="AE50" s="8"/>
      <c r="AF50" s="8"/>
      <c r="AG50" s="8"/>
      <c r="AH50" s="8"/>
      <c r="AI50" s="8"/>
      <c r="AJ50" s="8"/>
      <c r="AK50" s="8"/>
      <c r="AL50" s="8"/>
      <c r="AM50" s="8"/>
      <c r="AN50" s="8"/>
      <c r="AO50" s="8"/>
      <c r="AP50" s="8"/>
      <c r="AQ50" s="8"/>
      <c r="AR50" s="8"/>
      <c r="AS50" s="8"/>
      <c r="AT50" s="8"/>
      <c r="AU50" s="8"/>
      <c r="AV50" s="8"/>
      <c r="AW50" s="8"/>
      <c r="AX50" s="8"/>
      <c r="AY50" s="8"/>
      <c r="AZ50" s="8"/>
      <c r="BA50" s="8"/>
      <c r="BB50" s="8"/>
      <c r="BC50" s="8"/>
      <c r="BD50" s="8"/>
      <c r="BE50" s="8"/>
      <c r="BF50" s="8"/>
      <c r="BG50" s="8"/>
      <c r="BH50" s="8"/>
      <c r="BI50" s="8"/>
      <c r="BJ50" s="8"/>
      <c r="BK50" s="8"/>
      <c r="BL50" s="8"/>
      <c r="BM50" s="8"/>
      <c r="BN50" s="8"/>
      <c r="BO50" s="8"/>
      <c r="BP50" s="8"/>
      <c r="BQ50" s="8"/>
      <c r="BR50" s="8"/>
      <c r="BS50" s="8"/>
      <c r="BT50" s="8"/>
      <c r="BU50" s="8"/>
      <c r="BV50" s="8"/>
      <c r="BW50" s="8"/>
      <c r="BX50" s="8"/>
      <c r="BY50" s="8"/>
      <c r="BZ50" s="8"/>
      <c r="CA50" s="8"/>
      <c r="CB50" s="8"/>
      <c r="CC50" s="8"/>
      <c r="CD50" s="8"/>
      <c r="CE50" s="8"/>
      <c r="CF50" s="8"/>
      <c r="CG50" s="8"/>
      <c r="CH50" s="8"/>
      <c r="CI50" s="8"/>
      <c r="CJ50" s="8"/>
      <c r="CK50" s="8"/>
      <c r="CL50" s="8"/>
      <c r="CM50" s="8"/>
      <c r="CN50" s="8"/>
      <c r="CO50" s="8"/>
      <c r="CP50" s="8"/>
      <c r="CQ50" s="8"/>
      <c r="CR50" s="8"/>
    </row>
    <row r="51" spans="1:96" x14ac:dyDescent="0.25">
      <c r="A51" s="8"/>
      <c r="B51" s="8"/>
      <c r="C51" s="8"/>
      <c r="D51" s="8"/>
      <c r="E51" s="8"/>
      <c r="F51" s="8"/>
      <c r="G51" s="8"/>
      <c r="H51" s="8"/>
      <c r="I51" s="8"/>
      <c r="J51" s="8"/>
      <c r="K51" s="8"/>
      <c r="L51" s="8"/>
      <c r="M51" s="8"/>
      <c r="N51" s="8"/>
      <c r="O51" s="8"/>
      <c r="P51" s="8"/>
      <c r="Q51" s="8"/>
      <c r="R51" s="8"/>
      <c r="S51" s="8"/>
      <c r="T51" s="8"/>
      <c r="U51" s="8"/>
      <c r="V51" s="8"/>
      <c r="W51" s="8"/>
      <c r="X51" s="8"/>
      <c r="Y51" s="8"/>
      <c r="Z51" s="8"/>
      <c r="AA51" s="8"/>
      <c r="AB51" s="8"/>
      <c r="AC51" s="8"/>
      <c r="AD51" s="8"/>
      <c r="AE51" s="8"/>
      <c r="AF51" s="8"/>
      <c r="AG51" s="8"/>
      <c r="AH51" s="8"/>
      <c r="AI51" s="8"/>
      <c r="AJ51" s="8"/>
      <c r="AK51" s="8"/>
      <c r="AL51" s="8"/>
      <c r="AM51" s="8"/>
      <c r="AN51" s="8"/>
      <c r="AO51" s="8"/>
      <c r="AP51" s="8"/>
      <c r="AQ51" s="8"/>
      <c r="AR51" s="8"/>
      <c r="AS51" s="8"/>
      <c r="AT51" s="8"/>
      <c r="AU51" s="8"/>
      <c r="AV51" s="8"/>
      <c r="AW51" s="8"/>
      <c r="AX51" s="8"/>
      <c r="AY51" s="8"/>
      <c r="AZ51" s="8"/>
      <c r="BA51" s="8"/>
      <c r="BB51" s="8"/>
      <c r="BC51" s="8"/>
      <c r="BD51" s="8"/>
      <c r="BE51" s="8"/>
      <c r="BF51" s="8"/>
      <c r="BG51" s="8"/>
      <c r="BH51" s="8"/>
      <c r="BI51" s="8"/>
      <c r="BJ51" s="8"/>
      <c r="BK51" s="8"/>
      <c r="BL51" s="8"/>
      <c r="BM51" s="8"/>
      <c r="BN51" s="8"/>
      <c r="BO51" s="8"/>
      <c r="BP51" s="8"/>
      <c r="BQ51" s="8"/>
      <c r="BR51" s="8"/>
      <c r="BS51" s="8"/>
      <c r="BT51" s="8"/>
      <c r="BU51" s="8"/>
      <c r="BV51" s="8"/>
      <c r="BW51" s="8"/>
      <c r="BX51" s="8"/>
      <c r="BY51" s="8"/>
      <c r="BZ51" s="8"/>
      <c r="CA51" s="8"/>
      <c r="CB51" s="8"/>
      <c r="CC51" s="8"/>
      <c r="CD51" s="8"/>
      <c r="CE51" s="8"/>
      <c r="CF51" s="8"/>
      <c r="CG51" s="8"/>
      <c r="CH51" s="8"/>
      <c r="CI51" s="8"/>
      <c r="CJ51" s="8"/>
      <c r="CK51" s="8"/>
      <c r="CL51" s="8"/>
      <c r="CM51" s="8"/>
      <c r="CN51" s="8"/>
      <c r="CO51" s="8"/>
      <c r="CP51" s="8"/>
      <c r="CQ51" s="8"/>
      <c r="CR51" s="8"/>
    </row>
    <row r="52" spans="1:96" x14ac:dyDescent="0.25">
      <c r="A52" s="8"/>
      <c r="B52" s="8"/>
      <c r="C52" s="8"/>
      <c r="D52" s="8"/>
      <c r="E52" s="8"/>
      <c r="F52" s="8"/>
      <c r="G52" s="8"/>
      <c r="H52" s="8"/>
      <c r="I52" s="8"/>
      <c r="J52" s="8"/>
      <c r="K52" s="8"/>
      <c r="L52" s="8"/>
      <c r="M52" s="8"/>
      <c r="N52" s="8"/>
      <c r="O52" s="8"/>
      <c r="P52" s="8"/>
      <c r="Q52" s="8"/>
      <c r="R52" s="8"/>
      <c r="S52" s="8"/>
      <c r="T52" s="8"/>
      <c r="U52" s="8"/>
      <c r="V52" s="8"/>
      <c r="W52" s="8"/>
      <c r="X52" s="8"/>
      <c r="Y52" s="8"/>
      <c r="Z52" s="8"/>
      <c r="AA52" s="8"/>
      <c r="AB52" s="8"/>
      <c r="AC52" s="8"/>
      <c r="AD52" s="8"/>
      <c r="AE52" s="8"/>
      <c r="AF52" s="8"/>
      <c r="AG52" s="8"/>
      <c r="AH52" s="8"/>
      <c r="AI52" s="8"/>
      <c r="AJ52" s="8"/>
      <c r="AK52" s="8"/>
      <c r="AL52" s="8"/>
      <c r="AM52" s="8"/>
      <c r="AN52" s="8"/>
      <c r="AO52" s="8"/>
      <c r="AP52" s="8"/>
      <c r="AQ52" s="8"/>
      <c r="AR52" s="8"/>
      <c r="AS52" s="8"/>
      <c r="AT52" s="8"/>
      <c r="AU52" s="8"/>
      <c r="AV52" s="8"/>
      <c r="AW52" s="8"/>
      <c r="AX52" s="8"/>
      <c r="AY52" s="8"/>
      <c r="AZ52" s="8"/>
      <c r="BA52" s="8"/>
      <c r="BB52" s="8"/>
      <c r="BC52" s="8"/>
      <c r="BD52" s="8"/>
      <c r="BE52" s="8"/>
      <c r="BF52" s="8"/>
      <c r="BG52" s="8"/>
      <c r="BH52" s="8"/>
      <c r="BI52" s="8"/>
      <c r="BJ52" s="8"/>
      <c r="BK52" s="8"/>
      <c r="BL52" s="8"/>
      <c r="BM52" s="8"/>
      <c r="BN52" s="8"/>
      <c r="BO52" s="8"/>
      <c r="BP52" s="8"/>
      <c r="BQ52" s="8"/>
      <c r="BR52" s="8"/>
      <c r="BS52" s="8"/>
      <c r="BT52" s="8"/>
      <c r="BU52" s="8"/>
      <c r="BV52" s="8"/>
      <c r="BW52" s="8"/>
      <c r="BX52" s="8"/>
      <c r="BY52" s="8"/>
      <c r="BZ52" s="8"/>
      <c r="CA52" s="8"/>
      <c r="CB52" s="8"/>
      <c r="CC52" s="8"/>
      <c r="CD52" s="8"/>
      <c r="CE52" s="8"/>
      <c r="CF52" s="8"/>
      <c r="CG52" s="8"/>
      <c r="CH52" s="8"/>
      <c r="CI52" s="8"/>
      <c r="CJ52" s="8"/>
      <c r="CK52" s="8"/>
      <c r="CL52" s="8"/>
      <c r="CM52" s="8"/>
      <c r="CN52" s="8"/>
      <c r="CO52" s="8"/>
      <c r="CP52" s="8"/>
      <c r="CQ52" s="8"/>
      <c r="CR52" s="8"/>
    </row>
    <row r="53" spans="1:96" x14ac:dyDescent="0.25">
      <c r="A53" s="8"/>
      <c r="B53" s="8"/>
      <c r="C53" s="8"/>
      <c r="D53" s="8"/>
      <c r="E53" s="8"/>
      <c r="F53" s="8"/>
      <c r="G53" s="8"/>
      <c r="H53" s="8"/>
      <c r="I53" s="8"/>
      <c r="J53" s="8"/>
      <c r="K53" s="8"/>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c r="AO53" s="8"/>
      <c r="AP53" s="8"/>
      <c r="AQ53" s="8"/>
      <c r="AR53" s="8"/>
      <c r="AS53" s="8"/>
      <c r="AT53" s="8"/>
      <c r="AU53" s="8"/>
      <c r="AV53" s="8"/>
      <c r="AW53" s="8"/>
      <c r="AX53" s="8"/>
      <c r="AY53" s="8"/>
      <c r="AZ53" s="8"/>
      <c r="BA53" s="8"/>
      <c r="BB53" s="8"/>
      <c r="BC53" s="8"/>
      <c r="BD53" s="8"/>
      <c r="BE53" s="8"/>
      <c r="BF53" s="8"/>
      <c r="BG53" s="8"/>
      <c r="BH53" s="8"/>
      <c r="BI53" s="8"/>
      <c r="BJ53" s="8"/>
      <c r="BK53" s="8"/>
      <c r="BL53" s="8"/>
      <c r="BM53" s="8"/>
      <c r="BN53" s="8"/>
      <c r="BO53" s="8"/>
      <c r="BP53" s="8"/>
      <c r="BQ53" s="8"/>
      <c r="BR53" s="8"/>
      <c r="BS53" s="8"/>
      <c r="BT53" s="8"/>
      <c r="BU53" s="8"/>
      <c r="BV53" s="8"/>
      <c r="BW53" s="8"/>
      <c r="BX53" s="8"/>
      <c r="BY53" s="8"/>
      <c r="BZ53" s="8"/>
      <c r="CA53" s="8"/>
      <c r="CB53" s="8"/>
      <c r="CC53" s="8"/>
      <c r="CD53" s="8"/>
      <c r="CE53" s="8"/>
      <c r="CF53" s="8"/>
      <c r="CG53" s="8"/>
      <c r="CH53" s="8"/>
      <c r="CI53" s="8"/>
      <c r="CJ53" s="8"/>
      <c r="CK53" s="8"/>
      <c r="CL53" s="8"/>
      <c r="CM53" s="8"/>
      <c r="CN53" s="8"/>
      <c r="CO53" s="8"/>
      <c r="CP53" s="8"/>
      <c r="CQ53" s="8"/>
      <c r="CR53" s="8"/>
    </row>
    <row r="54" spans="1:96" x14ac:dyDescent="0.25">
      <c r="A54" s="8"/>
      <c r="B54" s="8"/>
      <c r="C54" s="8"/>
      <c r="D54" s="8"/>
      <c r="E54" s="8"/>
      <c r="F54" s="8"/>
      <c r="G54" s="8"/>
      <c r="H54" s="8"/>
      <c r="I54" s="8"/>
      <c r="J54" s="8"/>
      <c r="K54" s="8"/>
      <c r="L54" s="8"/>
      <c r="M54" s="8"/>
      <c r="N54" s="8"/>
      <c r="O54" s="8"/>
      <c r="P54" s="8"/>
      <c r="Q54" s="8"/>
      <c r="R54" s="8"/>
      <c r="S54" s="8"/>
      <c r="T54" s="8"/>
      <c r="U54" s="8"/>
      <c r="V54" s="8"/>
      <c r="W54" s="8"/>
      <c r="X54" s="8"/>
      <c r="Y54" s="8"/>
      <c r="Z54" s="8"/>
      <c r="AA54" s="8"/>
      <c r="AB54" s="8"/>
      <c r="AC54" s="8"/>
      <c r="AD54" s="8"/>
      <c r="AE54" s="8"/>
      <c r="AF54" s="8"/>
      <c r="AG54" s="8"/>
      <c r="AH54" s="8"/>
      <c r="AI54" s="8"/>
      <c r="AJ54" s="8"/>
      <c r="AK54" s="8"/>
      <c r="AL54" s="8"/>
      <c r="AM54" s="8"/>
      <c r="AN54" s="8"/>
      <c r="AO54" s="8"/>
      <c r="AP54" s="8"/>
      <c r="AQ54" s="8"/>
      <c r="AR54" s="8"/>
      <c r="AS54" s="8"/>
      <c r="AT54" s="8"/>
      <c r="AU54" s="8"/>
      <c r="AV54" s="8"/>
      <c r="AW54" s="8"/>
      <c r="AX54" s="8"/>
      <c r="AY54" s="8"/>
      <c r="AZ54" s="8"/>
      <c r="BA54" s="8"/>
      <c r="BB54" s="8"/>
      <c r="BC54" s="8"/>
      <c r="BD54" s="8"/>
      <c r="BE54" s="8"/>
      <c r="BF54" s="8"/>
      <c r="BG54" s="8"/>
      <c r="BH54" s="8"/>
      <c r="BI54" s="8"/>
      <c r="BJ54" s="8"/>
      <c r="BK54" s="8"/>
      <c r="BL54" s="8"/>
      <c r="BM54" s="8"/>
      <c r="BN54" s="8"/>
      <c r="BO54" s="8"/>
      <c r="BP54" s="8"/>
      <c r="BQ54" s="8"/>
      <c r="BR54" s="8"/>
      <c r="BS54" s="8"/>
      <c r="BT54" s="8"/>
      <c r="BU54" s="8"/>
      <c r="BV54" s="8"/>
      <c r="BW54" s="8"/>
      <c r="BX54" s="8"/>
      <c r="BY54" s="8"/>
      <c r="BZ54" s="8"/>
      <c r="CA54" s="8"/>
      <c r="CB54" s="8"/>
      <c r="CC54" s="8"/>
      <c r="CD54" s="8"/>
      <c r="CE54" s="8"/>
      <c r="CF54" s="8"/>
      <c r="CG54" s="8"/>
      <c r="CH54" s="8"/>
      <c r="CI54" s="8"/>
      <c r="CJ54" s="8"/>
      <c r="CK54" s="8"/>
      <c r="CL54" s="8"/>
      <c r="CM54" s="8"/>
      <c r="CN54" s="8"/>
      <c r="CO54" s="8"/>
      <c r="CP54" s="8"/>
      <c r="CQ54" s="8"/>
      <c r="CR54" s="8"/>
    </row>
    <row r="55" spans="1:96" x14ac:dyDescent="0.25">
      <c r="A55" s="8"/>
      <c r="B55" s="8"/>
      <c r="C55" s="8"/>
      <c r="D55" s="8"/>
      <c r="E55" s="8"/>
      <c r="F55" s="8"/>
      <c r="G55" s="8"/>
      <c r="H55" s="8"/>
      <c r="I55" s="8"/>
      <c r="J55" s="8"/>
      <c r="K55" s="8"/>
      <c r="L55" s="8"/>
      <c r="M55" s="8"/>
      <c r="N55" s="8"/>
      <c r="O55" s="8"/>
      <c r="P55" s="8"/>
      <c r="Q55" s="8"/>
      <c r="R55" s="8"/>
      <c r="S55" s="8"/>
      <c r="T55" s="8"/>
      <c r="U55" s="8"/>
      <c r="V55" s="8"/>
      <c r="W55" s="8"/>
      <c r="X55" s="8"/>
      <c r="Y55" s="8"/>
      <c r="Z55" s="8"/>
      <c r="AA55" s="8"/>
      <c r="AB55" s="8"/>
      <c r="AC55" s="8"/>
      <c r="AD55" s="8"/>
      <c r="AE55" s="8"/>
      <c r="AF55" s="8"/>
      <c r="AG55" s="8"/>
      <c r="AH55" s="8"/>
      <c r="AI55" s="8"/>
      <c r="AJ55" s="8"/>
      <c r="AK55" s="8"/>
      <c r="AL55" s="8"/>
      <c r="AM55" s="8"/>
      <c r="AN55" s="8"/>
      <c r="AO55" s="8"/>
      <c r="AP55" s="8"/>
      <c r="AQ55" s="8"/>
      <c r="AR55" s="8"/>
      <c r="AS55" s="8"/>
      <c r="AT55" s="8"/>
      <c r="AU55" s="8"/>
      <c r="AV55" s="8"/>
      <c r="AW55" s="8"/>
      <c r="AX55" s="8"/>
      <c r="AY55" s="8"/>
      <c r="AZ55" s="8"/>
      <c r="BA55" s="8"/>
      <c r="BB55" s="8"/>
      <c r="BC55" s="8"/>
      <c r="BD55" s="8"/>
      <c r="BE55" s="8"/>
      <c r="BF55" s="8"/>
      <c r="BG55" s="8"/>
      <c r="BH55" s="8"/>
      <c r="BI55" s="8"/>
      <c r="BJ55" s="8"/>
      <c r="BK55" s="8"/>
      <c r="BL55" s="8"/>
      <c r="BM55" s="8"/>
      <c r="BN55" s="8"/>
      <c r="BO55" s="8"/>
      <c r="BP55" s="8"/>
      <c r="BQ55" s="8"/>
      <c r="BR55" s="8"/>
      <c r="BS55" s="8"/>
      <c r="BT55" s="8"/>
      <c r="BU55" s="8"/>
      <c r="BV55" s="8"/>
      <c r="BW55" s="8"/>
      <c r="BX55" s="8"/>
      <c r="BY55" s="8"/>
      <c r="BZ55" s="8"/>
      <c r="CA55" s="8"/>
      <c r="CB55" s="8"/>
      <c r="CC55" s="8"/>
      <c r="CD55" s="8"/>
      <c r="CE55" s="8"/>
      <c r="CF55" s="8"/>
      <c r="CG55" s="8"/>
      <c r="CH55" s="8"/>
      <c r="CI55" s="8"/>
      <c r="CJ55" s="8"/>
      <c r="CK55" s="8"/>
      <c r="CL55" s="8"/>
      <c r="CM55" s="8"/>
      <c r="CN55" s="8"/>
      <c r="CO55" s="8"/>
      <c r="CP55" s="8"/>
      <c r="CQ55" s="8"/>
      <c r="CR55" s="8"/>
    </row>
    <row r="56" spans="1:96" x14ac:dyDescent="0.25">
      <c r="A56" s="8"/>
      <c r="B56" s="8"/>
      <c r="C56" s="8"/>
      <c r="D56" s="8"/>
      <c r="E56" s="8"/>
      <c r="F56" s="8"/>
      <c r="G56" s="8"/>
      <c r="H56" s="8"/>
      <c r="I56" s="8"/>
      <c r="J56" s="8"/>
      <c r="K56" s="8"/>
      <c r="L56" s="8"/>
      <c r="M56" s="8"/>
      <c r="N56" s="8"/>
      <c r="O56" s="8"/>
      <c r="P56" s="8"/>
      <c r="Q56" s="8"/>
      <c r="R56" s="8"/>
      <c r="S56" s="8"/>
      <c r="T56" s="8"/>
      <c r="U56" s="8"/>
      <c r="V56" s="8"/>
      <c r="W56" s="8"/>
      <c r="X56" s="8"/>
      <c r="Y56" s="8"/>
      <c r="Z56" s="8"/>
      <c r="AA56" s="8"/>
      <c r="AB56" s="8"/>
      <c r="AC56" s="8"/>
      <c r="AD56" s="8"/>
      <c r="AE56" s="8"/>
      <c r="AF56" s="8"/>
      <c r="AG56" s="8"/>
      <c r="AH56" s="8"/>
      <c r="AI56" s="8"/>
      <c r="AJ56" s="8"/>
      <c r="AK56" s="8"/>
      <c r="AL56" s="8"/>
      <c r="AM56" s="8"/>
      <c r="AN56" s="8"/>
      <c r="AO56" s="8"/>
      <c r="AP56" s="8"/>
      <c r="AQ56" s="8"/>
      <c r="AR56" s="8"/>
      <c r="AS56" s="8"/>
      <c r="AT56" s="8"/>
      <c r="AU56" s="8"/>
      <c r="AV56" s="8"/>
      <c r="AW56" s="8"/>
      <c r="AX56" s="8"/>
      <c r="AY56" s="8"/>
      <c r="AZ56" s="8"/>
      <c r="BA56" s="8"/>
      <c r="BB56" s="8"/>
      <c r="BC56" s="8"/>
      <c r="BD56" s="8"/>
      <c r="BE56" s="8"/>
      <c r="BF56" s="8"/>
      <c r="BG56" s="8"/>
      <c r="BH56" s="8"/>
      <c r="BI56" s="8"/>
      <c r="BJ56" s="8"/>
      <c r="BK56" s="8"/>
      <c r="BL56" s="8"/>
      <c r="BM56" s="8"/>
      <c r="BN56" s="8"/>
      <c r="BO56" s="8"/>
      <c r="BP56" s="8"/>
      <c r="BQ56" s="8"/>
      <c r="BR56" s="8"/>
      <c r="BS56" s="8"/>
      <c r="BT56" s="8"/>
      <c r="BU56" s="8"/>
      <c r="BV56" s="8"/>
      <c r="BW56" s="8"/>
      <c r="BX56" s="8"/>
      <c r="BY56" s="8"/>
      <c r="BZ56" s="8"/>
      <c r="CA56" s="8"/>
      <c r="CB56" s="8"/>
      <c r="CC56" s="8"/>
      <c r="CD56" s="8"/>
      <c r="CE56" s="8"/>
      <c r="CF56" s="8"/>
      <c r="CG56" s="8"/>
      <c r="CH56" s="8"/>
      <c r="CI56" s="8"/>
      <c r="CJ56" s="8"/>
      <c r="CK56" s="8"/>
      <c r="CL56" s="8"/>
      <c r="CM56" s="8"/>
      <c r="CN56" s="8"/>
      <c r="CO56" s="8"/>
      <c r="CP56" s="8"/>
      <c r="CQ56" s="8"/>
      <c r="CR56" s="8"/>
    </row>
    <row r="57" spans="1:96" x14ac:dyDescent="0.25">
      <c r="A57" s="8"/>
      <c r="B57" s="8"/>
      <c r="C57" s="8"/>
      <c r="D57" s="8"/>
      <c r="E57" s="8"/>
      <c r="F57" s="8"/>
      <c r="G57" s="8"/>
      <c r="H57" s="8"/>
      <c r="I57" s="8"/>
      <c r="J57" s="8"/>
      <c r="K57" s="8"/>
      <c r="L57" s="8"/>
      <c r="M57" s="8"/>
      <c r="N57" s="8"/>
      <c r="O57" s="8"/>
      <c r="P57" s="8"/>
      <c r="Q57" s="8"/>
      <c r="R57" s="8"/>
      <c r="S57" s="8"/>
      <c r="T57" s="8"/>
      <c r="U57" s="8"/>
      <c r="V57" s="8"/>
      <c r="W57" s="8"/>
      <c r="X57" s="8"/>
      <c r="Y57" s="8"/>
      <c r="Z57" s="8"/>
      <c r="AA57" s="8"/>
      <c r="AB57" s="8"/>
      <c r="AC57" s="8"/>
      <c r="AD57" s="8"/>
      <c r="AE57" s="8"/>
      <c r="AF57" s="8"/>
      <c r="AG57" s="8"/>
      <c r="AH57" s="8"/>
      <c r="AI57" s="8"/>
      <c r="AJ57" s="8"/>
      <c r="AK57" s="8"/>
      <c r="AL57" s="8"/>
      <c r="AM57" s="8"/>
      <c r="AN57" s="8"/>
      <c r="AO57" s="8"/>
      <c r="AP57" s="8"/>
      <c r="AQ57" s="8"/>
      <c r="AR57" s="8"/>
      <c r="AS57" s="8"/>
      <c r="AT57" s="8"/>
      <c r="AU57" s="8"/>
      <c r="AV57" s="8"/>
      <c r="AW57" s="8"/>
      <c r="AX57" s="8"/>
      <c r="AY57" s="8"/>
      <c r="AZ57" s="8"/>
      <c r="BA57" s="8"/>
      <c r="BB57" s="8"/>
      <c r="BC57" s="8"/>
      <c r="BD57" s="8"/>
      <c r="BE57" s="8"/>
      <c r="BF57" s="8"/>
      <c r="BG57" s="8"/>
      <c r="BH57" s="8"/>
      <c r="BI57" s="8"/>
      <c r="BJ57" s="8"/>
      <c r="BK57" s="8"/>
      <c r="BL57" s="8"/>
      <c r="BM57" s="8"/>
      <c r="BN57" s="8"/>
      <c r="BO57" s="8"/>
      <c r="BP57" s="8"/>
      <c r="BQ57" s="8"/>
      <c r="BR57" s="8"/>
      <c r="BS57" s="8"/>
      <c r="BT57" s="8"/>
      <c r="BU57" s="8"/>
      <c r="BV57" s="8"/>
      <c r="BW57" s="8"/>
      <c r="BX57" s="8"/>
      <c r="BY57" s="8"/>
      <c r="BZ57" s="8"/>
      <c r="CA57" s="8"/>
      <c r="CB57" s="8"/>
      <c r="CC57" s="8"/>
      <c r="CD57" s="8"/>
      <c r="CE57" s="8"/>
      <c r="CF57" s="8"/>
      <c r="CG57" s="8"/>
      <c r="CH57" s="8"/>
      <c r="CI57" s="8"/>
      <c r="CJ57" s="8"/>
      <c r="CK57" s="8"/>
      <c r="CL57" s="8"/>
      <c r="CM57" s="8"/>
      <c r="CN57" s="8"/>
      <c r="CO57" s="8"/>
      <c r="CP57" s="8"/>
      <c r="CQ57" s="8"/>
      <c r="CR57" s="8"/>
    </row>
    <row r="58" spans="1:96" x14ac:dyDescent="0.25">
      <c r="A58" s="8"/>
      <c r="B58" s="8"/>
      <c r="C58" s="8"/>
      <c r="D58" s="8"/>
      <c r="E58" s="8"/>
      <c r="F58" s="8"/>
      <c r="G58" s="8"/>
      <c r="H58" s="8"/>
      <c r="I58" s="8"/>
      <c r="J58" s="8"/>
      <c r="K58" s="8"/>
      <c r="L58" s="8"/>
      <c r="M58" s="8"/>
      <c r="N58" s="8"/>
      <c r="O58" s="8"/>
      <c r="P58" s="8"/>
      <c r="Q58" s="8"/>
      <c r="R58" s="8"/>
      <c r="S58" s="8"/>
      <c r="T58" s="8"/>
      <c r="U58" s="8"/>
      <c r="V58" s="8"/>
      <c r="W58" s="8"/>
      <c r="X58" s="8"/>
      <c r="Y58" s="8"/>
      <c r="Z58" s="8"/>
      <c r="AA58" s="8"/>
      <c r="AB58" s="8"/>
      <c r="AC58" s="8"/>
      <c r="AD58" s="8"/>
      <c r="AE58" s="8"/>
      <c r="AF58" s="8"/>
      <c r="AG58" s="8"/>
      <c r="AH58" s="8"/>
      <c r="AI58" s="8"/>
      <c r="AJ58" s="8"/>
      <c r="AK58" s="8"/>
      <c r="AL58" s="8"/>
      <c r="AM58" s="8"/>
      <c r="AN58" s="8"/>
      <c r="AO58" s="8"/>
      <c r="AP58" s="8"/>
      <c r="AQ58" s="8"/>
      <c r="AR58" s="8"/>
      <c r="AS58" s="8"/>
      <c r="AT58" s="8"/>
      <c r="AU58" s="8"/>
      <c r="AV58" s="8"/>
      <c r="AW58" s="8"/>
      <c r="AX58" s="8"/>
      <c r="AY58" s="8"/>
      <c r="AZ58" s="8"/>
      <c r="BA58" s="8"/>
      <c r="BB58" s="8"/>
      <c r="BC58" s="8"/>
      <c r="BD58" s="8"/>
      <c r="BE58" s="8"/>
      <c r="BF58" s="8"/>
      <c r="BG58" s="8"/>
      <c r="BH58" s="8"/>
      <c r="BI58" s="8"/>
      <c r="BJ58" s="8"/>
      <c r="BK58" s="8"/>
      <c r="BL58" s="8"/>
      <c r="BM58" s="8"/>
      <c r="BN58" s="8"/>
      <c r="BO58" s="8"/>
      <c r="BP58" s="8"/>
      <c r="BQ58" s="8"/>
      <c r="BR58" s="8"/>
      <c r="BS58" s="8"/>
      <c r="BT58" s="8"/>
      <c r="BU58" s="8"/>
      <c r="BV58" s="8"/>
      <c r="BW58" s="8"/>
      <c r="BX58" s="8"/>
      <c r="BY58" s="8"/>
      <c r="BZ58" s="8"/>
      <c r="CA58" s="8"/>
      <c r="CB58" s="8"/>
      <c r="CC58" s="8"/>
      <c r="CD58" s="8"/>
      <c r="CE58" s="8"/>
      <c r="CF58" s="8"/>
      <c r="CG58" s="8"/>
      <c r="CH58" s="8"/>
      <c r="CI58" s="8"/>
      <c r="CJ58" s="8"/>
      <c r="CK58" s="8"/>
      <c r="CL58" s="8"/>
      <c r="CM58" s="8"/>
      <c r="CN58" s="8"/>
      <c r="CO58" s="8"/>
      <c r="CP58" s="8"/>
      <c r="CQ58" s="8"/>
      <c r="CR58" s="8"/>
    </row>
    <row r="59" spans="1:96" x14ac:dyDescent="0.25">
      <c r="A59" s="8"/>
      <c r="B59" s="8"/>
      <c r="C59" s="8"/>
      <c r="D59" s="8"/>
      <c r="E59" s="8"/>
      <c r="F59" s="8"/>
      <c r="G59" s="8"/>
      <c r="H59" s="8"/>
      <c r="I59" s="8"/>
      <c r="J59" s="8"/>
      <c r="K59" s="8"/>
      <c r="L59" s="8"/>
      <c r="M59" s="8"/>
      <c r="N59" s="8"/>
      <c r="O59" s="8"/>
      <c r="P59" s="8"/>
      <c r="Q59" s="8"/>
      <c r="R59" s="8"/>
      <c r="S59" s="8"/>
      <c r="T59" s="8"/>
      <c r="U59" s="8"/>
      <c r="V59" s="8"/>
      <c r="W59" s="8"/>
      <c r="X59" s="8"/>
      <c r="Y59" s="8"/>
      <c r="Z59" s="8"/>
      <c r="AA59" s="8"/>
      <c r="AB59" s="8"/>
      <c r="AC59" s="8"/>
      <c r="AD59" s="8"/>
      <c r="AE59" s="8"/>
      <c r="AF59" s="8"/>
      <c r="AG59" s="8"/>
      <c r="AH59" s="8"/>
      <c r="AI59" s="8"/>
      <c r="AJ59" s="8"/>
      <c r="AK59" s="8"/>
      <c r="AL59" s="8"/>
      <c r="AM59" s="8"/>
      <c r="AN59" s="8"/>
      <c r="AO59" s="8"/>
      <c r="AP59" s="8"/>
      <c r="AQ59" s="8"/>
      <c r="AR59" s="8"/>
      <c r="AS59" s="8"/>
      <c r="AT59" s="8"/>
      <c r="AU59" s="8"/>
      <c r="AV59" s="8"/>
      <c r="AW59" s="8"/>
      <c r="AX59" s="8"/>
      <c r="AY59" s="8"/>
      <c r="AZ59" s="8"/>
      <c r="BA59" s="8"/>
      <c r="BB59" s="8"/>
      <c r="BC59" s="8"/>
      <c r="BD59" s="8"/>
      <c r="BE59" s="8"/>
      <c r="BF59" s="8"/>
      <c r="BG59" s="8"/>
      <c r="BH59" s="8"/>
      <c r="BI59" s="8"/>
      <c r="BJ59" s="8"/>
      <c r="BK59" s="8"/>
      <c r="BL59" s="8"/>
      <c r="BM59" s="8"/>
      <c r="BN59" s="8"/>
      <c r="BO59" s="8"/>
      <c r="BP59" s="8"/>
      <c r="BQ59" s="8"/>
      <c r="BR59" s="8"/>
      <c r="BS59" s="8"/>
      <c r="BT59" s="8"/>
      <c r="BU59" s="8"/>
      <c r="BV59" s="8"/>
      <c r="BW59" s="8"/>
      <c r="BX59" s="8"/>
      <c r="BY59" s="8"/>
      <c r="BZ59" s="8"/>
      <c r="CA59" s="8"/>
      <c r="CB59" s="8"/>
      <c r="CC59" s="8"/>
      <c r="CD59" s="8"/>
      <c r="CE59" s="8"/>
      <c r="CF59" s="8"/>
      <c r="CG59" s="8"/>
      <c r="CH59" s="8"/>
      <c r="CI59" s="8"/>
      <c r="CJ59" s="8"/>
      <c r="CK59" s="8"/>
      <c r="CL59" s="8"/>
      <c r="CM59" s="8"/>
      <c r="CN59" s="8"/>
      <c r="CO59" s="8"/>
      <c r="CP59" s="8"/>
      <c r="CQ59" s="8"/>
      <c r="CR59" s="8"/>
    </row>
    <row r="60" spans="1:96" x14ac:dyDescent="0.25">
      <c r="A60" s="8"/>
      <c r="B60" s="8"/>
      <c r="C60" s="8"/>
      <c r="D60" s="8"/>
      <c r="E60" s="8"/>
      <c r="F60" s="8"/>
      <c r="G60" s="8"/>
      <c r="H60" s="8"/>
      <c r="I60" s="8"/>
      <c r="J60" s="8"/>
      <c r="K60" s="8"/>
      <c r="L60" s="8"/>
      <c r="M60" s="8"/>
      <c r="N60" s="8"/>
      <c r="O60" s="8"/>
      <c r="P60" s="8"/>
      <c r="Q60" s="8"/>
      <c r="R60" s="8"/>
      <c r="S60" s="8"/>
      <c r="T60" s="8"/>
      <c r="U60" s="8"/>
      <c r="V60" s="8"/>
      <c r="W60" s="8"/>
      <c r="X60" s="8"/>
      <c r="Y60" s="8"/>
      <c r="Z60" s="8"/>
      <c r="AA60" s="8"/>
      <c r="AB60" s="8"/>
      <c r="AC60" s="8"/>
      <c r="AD60" s="8"/>
      <c r="AE60" s="8"/>
      <c r="AF60" s="8"/>
      <c r="AG60" s="8"/>
      <c r="AH60" s="8"/>
      <c r="AI60" s="8"/>
      <c r="AJ60" s="8"/>
      <c r="AK60" s="8"/>
      <c r="AL60" s="8"/>
      <c r="AM60" s="8"/>
      <c r="AN60" s="8"/>
      <c r="AO60" s="8"/>
      <c r="AP60" s="8"/>
      <c r="AQ60" s="8"/>
      <c r="AR60" s="8"/>
      <c r="AS60" s="8"/>
      <c r="AT60" s="8"/>
      <c r="AU60" s="8"/>
      <c r="AV60" s="8"/>
      <c r="AW60" s="8"/>
      <c r="AX60" s="8"/>
      <c r="AY60" s="8"/>
      <c r="AZ60" s="8"/>
      <c r="BA60" s="8"/>
      <c r="BB60" s="8"/>
      <c r="BC60" s="8"/>
      <c r="BD60" s="8"/>
      <c r="BE60" s="8"/>
      <c r="BF60" s="8"/>
      <c r="BG60" s="8"/>
      <c r="BH60" s="8"/>
      <c r="BI60" s="8"/>
      <c r="BJ60" s="8"/>
      <c r="BK60" s="8"/>
      <c r="BL60" s="8"/>
      <c r="BM60" s="8"/>
      <c r="BN60" s="8"/>
      <c r="BO60" s="8"/>
      <c r="BP60" s="8"/>
      <c r="BQ60" s="8"/>
      <c r="BR60" s="8"/>
      <c r="BS60" s="8"/>
      <c r="BT60" s="8"/>
      <c r="BU60" s="8"/>
      <c r="BV60" s="8"/>
      <c r="BW60" s="8"/>
      <c r="BX60" s="8"/>
      <c r="BY60" s="8"/>
      <c r="BZ60" s="8"/>
      <c r="CA60" s="8"/>
      <c r="CB60" s="8"/>
      <c r="CC60" s="8"/>
      <c r="CD60" s="8"/>
      <c r="CE60" s="8"/>
      <c r="CF60" s="8"/>
      <c r="CG60" s="8"/>
      <c r="CH60" s="8"/>
      <c r="CI60" s="8"/>
      <c r="CJ60" s="8"/>
      <c r="CK60" s="8"/>
      <c r="CL60" s="8"/>
      <c r="CM60" s="8"/>
      <c r="CN60" s="8"/>
      <c r="CO60" s="8"/>
      <c r="CP60" s="8"/>
      <c r="CQ60" s="8"/>
      <c r="CR60" s="8"/>
    </row>
    <row r="61" spans="1:96" x14ac:dyDescent="0.25">
      <c r="A61" s="8"/>
      <c r="B61" s="8"/>
      <c r="C61" s="8"/>
      <c r="D61" s="8"/>
      <c r="E61" s="8"/>
      <c r="F61" s="8"/>
      <c r="G61" s="8"/>
      <c r="H61" s="8"/>
      <c r="I61" s="8"/>
      <c r="J61" s="8"/>
      <c r="K61" s="8"/>
      <c r="L61" s="8"/>
      <c r="M61" s="8"/>
      <c r="N61" s="8"/>
      <c r="O61" s="8"/>
      <c r="P61" s="8"/>
      <c r="Q61" s="8"/>
      <c r="R61" s="8"/>
      <c r="S61" s="8"/>
      <c r="T61" s="8"/>
      <c r="U61" s="8"/>
      <c r="V61" s="8"/>
      <c r="W61" s="8"/>
      <c r="X61" s="8"/>
      <c r="Y61" s="8"/>
      <c r="Z61" s="8"/>
      <c r="AA61" s="8"/>
      <c r="AB61" s="8"/>
      <c r="AC61" s="8"/>
      <c r="AD61" s="8"/>
      <c r="AE61" s="8"/>
      <c r="AF61" s="8"/>
      <c r="AG61" s="8"/>
      <c r="AH61" s="8"/>
      <c r="AI61" s="8"/>
      <c r="AJ61" s="8"/>
      <c r="AK61" s="8"/>
      <c r="AL61" s="8"/>
      <c r="AM61" s="8"/>
      <c r="AN61" s="8"/>
      <c r="AO61" s="8"/>
      <c r="AP61" s="8"/>
      <c r="AQ61" s="8"/>
      <c r="AR61" s="8"/>
      <c r="AS61" s="8"/>
      <c r="AT61" s="8"/>
      <c r="AU61" s="8"/>
      <c r="AV61" s="8"/>
      <c r="AW61" s="8"/>
      <c r="AX61" s="8"/>
      <c r="AY61" s="8"/>
      <c r="AZ61" s="8"/>
      <c r="BA61" s="8"/>
      <c r="BB61" s="8"/>
      <c r="BC61" s="8"/>
      <c r="BD61" s="8"/>
      <c r="BE61" s="8"/>
      <c r="BF61" s="8"/>
      <c r="BG61" s="8"/>
      <c r="BH61" s="8"/>
      <c r="BI61" s="8"/>
      <c r="BJ61" s="8"/>
      <c r="BK61" s="8"/>
      <c r="BL61" s="8"/>
      <c r="BM61" s="8"/>
      <c r="BN61" s="8"/>
      <c r="BO61" s="8"/>
      <c r="BP61" s="8"/>
      <c r="BQ61" s="8"/>
      <c r="BR61" s="8"/>
      <c r="BS61" s="8"/>
      <c r="BT61" s="8"/>
      <c r="BU61" s="8"/>
      <c r="BV61" s="8"/>
      <c r="BW61" s="8"/>
      <c r="BX61" s="8"/>
      <c r="BY61" s="8"/>
      <c r="BZ61" s="8"/>
      <c r="CA61" s="8"/>
      <c r="CB61" s="8"/>
      <c r="CC61" s="8"/>
      <c r="CD61" s="8"/>
      <c r="CE61" s="8"/>
      <c r="CF61" s="8"/>
      <c r="CG61" s="8"/>
      <c r="CH61" s="8"/>
      <c r="CI61" s="8"/>
      <c r="CJ61" s="8"/>
      <c r="CK61" s="8"/>
      <c r="CL61" s="8"/>
      <c r="CM61" s="8"/>
      <c r="CN61" s="8"/>
      <c r="CO61" s="8"/>
      <c r="CP61" s="8"/>
      <c r="CQ61" s="8"/>
      <c r="CR61" s="8"/>
    </row>
    <row r="62" spans="1:96" x14ac:dyDescent="0.25">
      <c r="A62" s="8"/>
      <c r="B62" s="8"/>
      <c r="C62" s="8"/>
      <c r="D62" s="8"/>
      <c r="E62" s="8"/>
      <c r="F62" s="8"/>
      <c r="G62" s="8"/>
      <c r="H62" s="8"/>
      <c r="I62" s="8"/>
      <c r="J62" s="8"/>
      <c r="K62" s="8"/>
      <c r="L62" s="8"/>
      <c r="M62" s="8"/>
      <c r="N62" s="8"/>
      <c r="O62" s="8"/>
      <c r="P62" s="8"/>
      <c r="Q62" s="8"/>
      <c r="R62" s="8"/>
      <c r="S62" s="8"/>
      <c r="T62" s="8"/>
      <c r="U62" s="8"/>
      <c r="V62" s="8"/>
      <c r="W62" s="8"/>
      <c r="X62" s="8"/>
      <c r="Y62" s="8"/>
      <c r="Z62" s="8"/>
      <c r="AA62" s="8"/>
      <c r="AB62" s="8"/>
      <c r="AC62" s="8"/>
      <c r="AD62" s="8"/>
      <c r="AE62" s="8"/>
      <c r="AF62" s="8"/>
      <c r="AG62" s="8"/>
      <c r="AH62" s="8"/>
      <c r="AI62" s="8"/>
      <c r="AJ62" s="8"/>
      <c r="AK62" s="8"/>
      <c r="AL62" s="8"/>
      <c r="AM62" s="8"/>
      <c r="AN62" s="8"/>
      <c r="AO62" s="8"/>
      <c r="AP62" s="8"/>
      <c r="AQ62" s="8"/>
      <c r="AR62" s="8"/>
      <c r="AS62" s="8"/>
      <c r="AT62" s="8"/>
      <c r="AU62" s="8"/>
      <c r="AV62" s="8"/>
      <c r="AW62" s="8"/>
      <c r="AX62" s="8"/>
      <c r="AY62" s="8"/>
      <c r="AZ62" s="8"/>
      <c r="BA62" s="8"/>
      <c r="BB62" s="8"/>
      <c r="BC62" s="8"/>
      <c r="BD62" s="8"/>
      <c r="BE62" s="8"/>
      <c r="BF62" s="8"/>
      <c r="BG62" s="8"/>
      <c r="BH62" s="8"/>
      <c r="BI62" s="8"/>
      <c r="BJ62" s="8"/>
      <c r="BK62" s="8"/>
      <c r="BL62" s="8"/>
      <c r="BM62" s="8"/>
      <c r="BN62" s="8"/>
      <c r="BO62" s="8"/>
      <c r="BP62" s="8"/>
      <c r="BQ62" s="8"/>
      <c r="BR62" s="8"/>
      <c r="BS62" s="8"/>
      <c r="BT62" s="8"/>
      <c r="BU62" s="8"/>
      <c r="BV62" s="8"/>
      <c r="BW62" s="8"/>
      <c r="BX62" s="8"/>
      <c r="BY62" s="8"/>
      <c r="BZ62" s="8"/>
      <c r="CA62" s="8"/>
      <c r="CB62" s="8"/>
      <c r="CC62" s="8"/>
      <c r="CD62" s="8"/>
      <c r="CE62" s="8"/>
      <c r="CF62" s="8"/>
      <c r="CG62" s="8"/>
      <c r="CH62" s="8"/>
      <c r="CI62" s="8"/>
      <c r="CJ62" s="8"/>
      <c r="CK62" s="8"/>
      <c r="CL62" s="8"/>
      <c r="CM62" s="8"/>
      <c r="CN62" s="8"/>
      <c r="CO62" s="8"/>
      <c r="CP62" s="8"/>
      <c r="CQ62" s="8"/>
      <c r="CR62" s="8"/>
    </row>
    <row r="63" spans="1:96" x14ac:dyDescent="0.25">
      <c r="A63" s="8"/>
      <c r="B63" s="8"/>
      <c r="C63" s="8"/>
      <c r="D63" s="8"/>
      <c r="E63" s="8"/>
      <c r="F63" s="8"/>
      <c r="G63" s="8"/>
      <c r="H63" s="8"/>
      <c r="I63" s="8"/>
      <c r="J63" s="8"/>
      <c r="K63" s="8"/>
      <c r="L63" s="8"/>
      <c r="M63" s="8"/>
      <c r="N63" s="8"/>
      <c r="O63" s="8"/>
      <c r="P63" s="8"/>
      <c r="Q63" s="8"/>
      <c r="R63" s="8"/>
      <c r="S63" s="8"/>
      <c r="T63" s="8"/>
      <c r="U63" s="8"/>
      <c r="V63" s="8"/>
      <c r="W63" s="8"/>
      <c r="X63" s="8"/>
      <c r="Y63" s="8"/>
      <c r="Z63" s="8"/>
      <c r="AA63" s="8"/>
      <c r="AB63" s="8"/>
      <c r="AC63" s="8"/>
      <c r="AD63" s="8"/>
      <c r="AE63" s="8"/>
      <c r="AF63" s="8"/>
      <c r="AG63" s="8"/>
      <c r="AH63" s="8"/>
      <c r="AI63" s="8"/>
      <c r="AJ63" s="8"/>
      <c r="AK63" s="8"/>
      <c r="AL63" s="8"/>
      <c r="AM63" s="8"/>
      <c r="AN63" s="8"/>
      <c r="AO63" s="8"/>
      <c r="AP63" s="8"/>
      <c r="AQ63" s="8"/>
      <c r="AR63" s="8"/>
      <c r="AS63" s="8"/>
      <c r="AT63" s="8"/>
      <c r="AU63" s="8"/>
      <c r="AV63" s="8"/>
      <c r="AW63" s="8"/>
      <c r="AX63" s="8"/>
      <c r="AY63" s="8"/>
      <c r="AZ63" s="8"/>
      <c r="BA63" s="8"/>
      <c r="BB63" s="8"/>
      <c r="BC63" s="8"/>
      <c r="BD63" s="8"/>
      <c r="BE63" s="8"/>
      <c r="BF63" s="8"/>
      <c r="BG63" s="8"/>
      <c r="BH63" s="8"/>
      <c r="BI63" s="8"/>
      <c r="BJ63" s="8"/>
      <c r="BK63" s="8"/>
      <c r="BL63" s="8"/>
      <c r="BM63" s="8"/>
      <c r="BN63" s="8"/>
      <c r="BO63" s="8"/>
      <c r="BP63" s="8"/>
      <c r="BQ63" s="8"/>
      <c r="BR63" s="8"/>
      <c r="BS63" s="8"/>
      <c r="BT63" s="8"/>
      <c r="BU63" s="8"/>
      <c r="BV63" s="8"/>
      <c r="BW63" s="8"/>
      <c r="BX63" s="8"/>
      <c r="BY63" s="8"/>
      <c r="BZ63" s="8"/>
      <c r="CA63" s="8"/>
      <c r="CB63" s="8"/>
      <c r="CC63" s="8"/>
      <c r="CD63" s="8"/>
      <c r="CE63" s="8"/>
      <c r="CF63" s="8"/>
      <c r="CG63" s="8"/>
      <c r="CH63" s="8"/>
      <c r="CI63" s="8"/>
      <c r="CJ63" s="8"/>
      <c r="CK63" s="8"/>
      <c r="CL63" s="8"/>
      <c r="CM63" s="8"/>
      <c r="CN63" s="8"/>
      <c r="CO63" s="8"/>
      <c r="CP63" s="8"/>
      <c r="CQ63" s="8"/>
      <c r="CR63" s="8"/>
    </row>
    <row r="64" spans="1:96" x14ac:dyDescent="0.25">
      <c r="A64" s="8"/>
      <c r="B64" s="8"/>
      <c r="C64" s="8"/>
      <c r="D64" s="8"/>
      <c r="E64" s="8"/>
      <c r="F64" s="8"/>
      <c r="G64" s="8"/>
      <c r="H64" s="8"/>
      <c r="I64" s="8"/>
      <c r="J64" s="8"/>
      <c r="K64" s="8"/>
      <c r="L64" s="8"/>
      <c r="M64" s="8"/>
      <c r="N64" s="8"/>
      <c r="O64" s="8"/>
      <c r="P64" s="8"/>
      <c r="Q64" s="8"/>
      <c r="R64" s="8"/>
      <c r="S64" s="8"/>
      <c r="T64" s="8"/>
      <c r="U64" s="8"/>
      <c r="V64" s="8"/>
      <c r="W64" s="8"/>
      <c r="X64" s="8"/>
      <c r="Y64" s="8"/>
      <c r="Z64" s="8"/>
      <c r="AA64" s="8"/>
      <c r="AB64" s="8"/>
      <c r="AC64" s="8"/>
      <c r="AD64" s="8"/>
      <c r="AE64" s="8"/>
      <c r="AF64" s="8"/>
      <c r="AG64" s="8"/>
      <c r="AH64" s="8"/>
      <c r="AI64" s="8"/>
      <c r="AJ64" s="8"/>
      <c r="AK64" s="8"/>
      <c r="AL64" s="8"/>
      <c r="AM64" s="8"/>
      <c r="AN64" s="8"/>
      <c r="AO64" s="8"/>
      <c r="AP64" s="8"/>
      <c r="AQ64" s="8"/>
      <c r="AR64" s="8"/>
      <c r="AS64" s="8"/>
      <c r="AT64" s="8"/>
      <c r="AU64" s="8"/>
      <c r="AV64" s="8"/>
      <c r="AW64" s="8"/>
      <c r="AX64" s="8"/>
      <c r="AY64" s="8"/>
      <c r="AZ64" s="8"/>
      <c r="BA64" s="8"/>
      <c r="BB64" s="8"/>
      <c r="BC64" s="8"/>
      <c r="BD64" s="8"/>
      <c r="BE64" s="8"/>
      <c r="BF64" s="8"/>
      <c r="BG64" s="8"/>
      <c r="BH64" s="8"/>
      <c r="BI64" s="8"/>
      <c r="BJ64" s="8"/>
      <c r="BK64" s="8"/>
      <c r="BL64" s="8"/>
      <c r="BM64" s="8"/>
      <c r="BN64" s="8"/>
      <c r="BO64" s="8"/>
      <c r="BP64" s="8"/>
      <c r="BQ64" s="8"/>
      <c r="BR64" s="8"/>
      <c r="BS64" s="8"/>
      <c r="BT64" s="8"/>
      <c r="BU64" s="8"/>
      <c r="BV64" s="8"/>
      <c r="BW64" s="8"/>
      <c r="BX64" s="8"/>
      <c r="BY64" s="8"/>
      <c r="BZ64" s="8"/>
      <c r="CA64" s="8"/>
      <c r="CB64" s="8"/>
      <c r="CC64" s="8"/>
      <c r="CD64" s="8"/>
      <c r="CE64" s="8"/>
      <c r="CF64" s="8"/>
      <c r="CG64" s="8"/>
      <c r="CH64" s="8"/>
      <c r="CI64" s="8"/>
      <c r="CJ64" s="8"/>
      <c r="CK64" s="8"/>
      <c r="CL64" s="8"/>
      <c r="CM64" s="8"/>
      <c r="CN64" s="8"/>
      <c r="CO64" s="8"/>
      <c r="CP64" s="8"/>
      <c r="CQ64" s="8"/>
      <c r="CR64" s="8"/>
    </row>
    <row r="65" spans="1:96" x14ac:dyDescent="0.25">
      <c r="A65" s="8"/>
      <c r="B65" s="8"/>
      <c r="C65" s="8"/>
      <c r="D65" s="8"/>
      <c r="E65" s="8"/>
      <c r="F65" s="8"/>
      <c r="G65" s="8"/>
      <c r="H65" s="8"/>
      <c r="I65" s="8"/>
      <c r="J65" s="8"/>
      <c r="K65" s="8"/>
      <c r="L65" s="8"/>
      <c r="M65" s="8"/>
      <c r="N65" s="8"/>
      <c r="O65" s="8"/>
      <c r="P65" s="8"/>
      <c r="Q65" s="8"/>
      <c r="R65" s="8"/>
      <c r="S65" s="8"/>
      <c r="T65" s="8"/>
      <c r="U65" s="8"/>
      <c r="V65" s="8"/>
      <c r="W65" s="8"/>
      <c r="X65" s="8"/>
      <c r="Y65" s="8"/>
      <c r="Z65" s="8"/>
      <c r="AA65" s="8"/>
      <c r="AB65" s="8"/>
      <c r="AC65" s="8"/>
      <c r="AD65" s="8"/>
      <c r="AE65" s="8"/>
      <c r="AF65" s="8"/>
      <c r="AG65" s="8"/>
      <c r="AH65" s="8"/>
      <c r="AI65" s="8"/>
      <c r="AJ65" s="8"/>
      <c r="AK65" s="8"/>
      <c r="AL65" s="8"/>
      <c r="AM65" s="8"/>
      <c r="AN65" s="8"/>
      <c r="AO65" s="8"/>
      <c r="AP65" s="8"/>
      <c r="AQ65" s="8"/>
      <c r="AR65" s="8"/>
      <c r="AS65" s="8"/>
      <c r="AT65" s="8"/>
      <c r="AU65" s="8"/>
      <c r="AV65" s="8"/>
      <c r="AW65" s="8"/>
      <c r="AX65" s="8"/>
      <c r="AY65" s="8"/>
      <c r="AZ65" s="8"/>
      <c r="BA65" s="8"/>
      <c r="BB65" s="8"/>
      <c r="BC65" s="8"/>
      <c r="BD65" s="8"/>
      <c r="BE65" s="8"/>
      <c r="BF65" s="8"/>
      <c r="BG65" s="8"/>
      <c r="BH65" s="8"/>
      <c r="BI65" s="8"/>
      <c r="BJ65" s="8"/>
      <c r="BK65" s="8"/>
      <c r="BL65" s="8"/>
      <c r="BM65" s="8"/>
      <c r="BN65" s="8"/>
      <c r="BO65" s="8"/>
      <c r="BP65" s="8"/>
      <c r="BQ65" s="8"/>
      <c r="BR65" s="8"/>
      <c r="BS65" s="8"/>
      <c r="BT65" s="8"/>
      <c r="BU65" s="8"/>
      <c r="BV65" s="8"/>
      <c r="BW65" s="8"/>
      <c r="BX65" s="8"/>
      <c r="BY65" s="8"/>
      <c r="BZ65" s="8"/>
      <c r="CA65" s="8"/>
      <c r="CB65" s="8"/>
      <c r="CC65" s="8"/>
      <c r="CD65" s="8"/>
      <c r="CE65" s="8"/>
      <c r="CF65" s="8"/>
      <c r="CG65" s="8"/>
      <c r="CH65" s="8"/>
      <c r="CI65" s="8"/>
      <c r="CJ65" s="8"/>
      <c r="CK65" s="8"/>
      <c r="CL65" s="8"/>
      <c r="CM65" s="8"/>
      <c r="CN65" s="8"/>
      <c r="CO65" s="8"/>
      <c r="CP65" s="8"/>
      <c r="CQ65" s="8"/>
      <c r="CR65" s="8"/>
    </row>
    <row r="66" spans="1:96" x14ac:dyDescent="0.25">
      <c r="A66" s="8"/>
      <c r="B66" s="8"/>
      <c r="C66" s="8"/>
      <c r="D66" s="8"/>
      <c r="E66" s="8"/>
      <c r="F66" s="8"/>
      <c r="G66" s="8"/>
      <c r="H66" s="8"/>
      <c r="I66" s="8"/>
      <c r="J66" s="8"/>
      <c r="K66" s="8"/>
      <c r="L66" s="8"/>
      <c r="M66" s="8"/>
      <c r="N66" s="8"/>
      <c r="O66" s="8"/>
      <c r="P66" s="8"/>
      <c r="Q66" s="8"/>
      <c r="R66" s="8"/>
      <c r="S66" s="8"/>
      <c r="T66" s="8"/>
      <c r="U66" s="8"/>
      <c r="V66" s="8"/>
      <c r="W66" s="8"/>
      <c r="X66" s="8"/>
      <c r="Y66" s="8"/>
      <c r="Z66" s="8"/>
      <c r="AA66" s="8"/>
      <c r="AB66" s="8"/>
      <c r="AC66" s="8"/>
      <c r="AD66" s="8"/>
      <c r="AE66" s="8"/>
      <c r="AF66" s="8"/>
      <c r="AG66" s="8"/>
      <c r="AH66" s="8"/>
      <c r="AI66" s="8"/>
      <c r="AJ66" s="8"/>
      <c r="AK66" s="8"/>
      <c r="AL66" s="8"/>
      <c r="AM66" s="8"/>
      <c r="AN66" s="8"/>
      <c r="AO66" s="8"/>
      <c r="AP66" s="8"/>
      <c r="AQ66" s="8"/>
      <c r="AR66" s="8"/>
      <c r="AS66" s="8"/>
      <c r="AT66" s="8"/>
      <c r="AU66" s="8"/>
      <c r="AV66" s="8"/>
      <c r="AW66" s="8"/>
      <c r="AX66" s="8"/>
      <c r="AY66" s="8"/>
      <c r="AZ66" s="8"/>
      <c r="BA66" s="8"/>
      <c r="BB66" s="8"/>
      <c r="BC66" s="8"/>
      <c r="BD66" s="8"/>
      <c r="BE66" s="8"/>
      <c r="BF66" s="8"/>
      <c r="BG66" s="8"/>
      <c r="BH66" s="8"/>
      <c r="BI66" s="8"/>
      <c r="BJ66" s="8"/>
      <c r="BK66" s="8"/>
      <c r="BL66" s="8"/>
      <c r="BM66" s="8"/>
      <c r="BN66" s="8"/>
      <c r="BO66" s="8"/>
      <c r="BP66" s="8"/>
      <c r="BQ66" s="8"/>
      <c r="BR66" s="8"/>
      <c r="BS66" s="8"/>
      <c r="BT66" s="8"/>
      <c r="BU66" s="8"/>
      <c r="BV66" s="8"/>
      <c r="BW66" s="8"/>
      <c r="BX66" s="8"/>
      <c r="BY66" s="8"/>
      <c r="BZ66" s="8"/>
      <c r="CA66" s="8"/>
      <c r="CB66" s="8"/>
      <c r="CC66" s="8"/>
      <c r="CD66" s="8"/>
      <c r="CE66" s="8"/>
      <c r="CF66" s="8"/>
      <c r="CG66" s="8"/>
      <c r="CH66" s="8"/>
      <c r="CI66" s="8"/>
      <c r="CJ66" s="8"/>
      <c r="CK66" s="8"/>
      <c r="CL66" s="8"/>
      <c r="CM66" s="8"/>
      <c r="CN66" s="8"/>
      <c r="CO66" s="8"/>
      <c r="CP66" s="8"/>
      <c r="CQ66" s="8"/>
      <c r="CR66" s="8"/>
    </row>
    <row r="67" spans="1:96" x14ac:dyDescent="0.25">
      <c r="A67" s="8"/>
      <c r="B67" s="8"/>
      <c r="C67" s="8"/>
      <c r="D67" s="8"/>
      <c r="E67" s="8"/>
      <c r="F67" s="8"/>
      <c r="G67" s="8"/>
      <c r="H67" s="8"/>
      <c r="I67" s="8"/>
      <c r="J67" s="8"/>
      <c r="K67" s="8"/>
      <c r="L67" s="8"/>
      <c r="M67" s="8"/>
      <c r="N67" s="8"/>
      <c r="O67" s="8"/>
      <c r="P67" s="8"/>
      <c r="Q67" s="8"/>
      <c r="R67" s="8"/>
      <c r="S67" s="8"/>
      <c r="T67" s="8"/>
      <c r="U67" s="8"/>
      <c r="V67" s="8"/>
      <c r="W67" s="8"/>
      <c r="X67" s="8"/>
      <c r="Y67" s="8"/>
      <c r="Z67" s="8"/>
      <c r="AA67" s="8"/>
      <c r="AB67" s="8"/>
      <c r="AC67" s="8"/>
      <c r="AD67" s="8"/>
      <c r="AE67" s="8"/>
      <c r="AF67" s="8"/>
      <c r="AG67" s="8"/>
      <c r="AH67" s="8"/>
      <c r="AI67" s="8"/>
      <c r="AJ67" s="8"/>
      <c r="AK67" s="8"/>
      <c r="AL67" s="8"/>
      <c r="AM67" s="8"/>
      <c r="AN67" s="8"/>
      <c r="AO67" s="8"/>
      <c r="AP67" s="8"/>
      <c r="AQ67" s="8"/>
      <c r="AR67" s="8"/>
      <c r="AS67" s="8"/>
      <c r="AT67" s="8"/>
      <c r="AU67" s="8"/>
      <c r="AV67" s="8"/>
      <c r="AW67" s="8"/>
      <c r="AX67" s="8"/>
      <c r="AY67" s="8"/>
      <c r="AZ67" s="8"/>
      <c r="BA67" s="8"/>
      <c r="BB67" s="8"/>
      <c r="BC67" s="8"/>
      <c r="BD67" s="8"/>
      <c r="BE67" s="8"/>
      <c r="BF67" s="8"/>
      <c r="BG67" s="8"/>
      <c r="BH67" s="8"/>
      <c r="BI67" s="8"/>
      <c r="BJ67" s="8"/>
      <c r="BK67" s="8"/>
      <c r="BL67" s="8"/>
      <c r="BM67" s="8"/>
      <c r="BN67" s="8"/>
      <c r="BO67" s="8"/>
      <c r="BP67" s="8"/>
      <c r="BQ67" s="8"/>
      <c r="BR67" s="8"/>
      <c r="BS67" s="8"/>
      <c r="BT67" s="8"/>
      <c r="BU67" s="8"/>
      <c r="BV67" s="8"/>
      <c r="BW67" s="8"/>
      <c r="BX67" s="8"/>
      <c r="BY67" s="8"/>
      <c r="BZ67" s="8"/>
      <c r="CA67" s="8"/>
      <c r="CB67" s="8"/>
      <c r="CC67" s="8"/>
      <c r="CD67" s="8"/>
      <c r="CE67" s="8"/>
      <c r="CF67" s="8"/>
      <c r="CG67" s="8"/>
      <c r="CH67" s="8"/>
      <c r="CI67" s="8"/>
      <c r="CJ67" s="8"/>
      <c r="CK67" s="8"/>
      <c r="CL67" s="8"/>
      <c r="CM67" s="8"/>
      <c r="CN67" s="8"/>
      <c r="CO67" s="8"/>
      <c r="CP67" s="8"/>
      <c r="CQ67" s="8"/>
      <c r="CR67" s="8"/>
    </row>
    <row r="68" spans="1:96" x14ac:dyDescent="0.25">
      <c r="A68" s="8"/>
      <c r="B68" s="8"/>
      <c r="C68" s="8"/>
      <c r="D68" s="8"/>
      <c r="E68" s="8"/>
      <c r="F68" s="8"/>
      <c r="G68" s="8"/>
      <c r="H68" s="8"/>
      <c r="I68" s="8"/>
      <c r="J68" s="8"/>
      <c r="K68" s="8"/>
      <c r="L68" s="8"/>
      <c r="M68" s="8"/>
      <c r="N68" s="8"/>
      <c r="O68" s="8"/>
      <c r="P68" s="8"/>
      <c r="Q68" s="8"/>
      <c r="R68" s="8"/>
      <c r="S68" s="8"/>
      <c r="T68" s="8"/>
      <c r="U68" s="8"/>
      <c r="V68" s="8"/>
      <c r="W68" s="8"/>
      <c r="X68" s="8"/>
      <c r="Y68" s="8"/>
      <c r="Z68" s="8"/>
      <c r="AA68" s="8"/>
      <c r="AB68" s="8"/>
      <c r="AC68" s="8"/>
      <c r="AD68" s="8"/>
      <c r="AE68" s="8"/>
      <c r="AF68" s="8"/>
      <c r="AG68" s="8"/>
      <c r="AH68" s="8"/>
      <c r="AI68" s="8"/>
      <c r="AJ68" s="8"/>
      <c r="AK68" s="8"/>
      <c r="AL68" s="8"/>
      <c r="AM68" s="8"/>
      <c r="AN68" s="8"/>
      <c r="AO68" s="8"/>
      <c r="AP68" s="8"/>
      <c r="AQ68" s="8"/>
      <c r="AR68" s="8"/>
      <c r="AS68" s="8"/>
      <c r="AT68" s="8"/>
      <c r="AU68" s="8"/>
      <c r="AV68" s="8"/>
      <c r="AW68" s="8"/>
      <c r="AX68" s="8"/>
      <c r="AY68" s="8"/>
      <c r="AZ68" s="8"/>
      <c r="BA68" s="8"/>
      <c r="BB68" s="8"/>
      <c r="BC68" s="8"/>
      <c r="BD68" s="8"/>
      <c r="BE68" s="8"/>
      <c r="BF68" s="8"/>
      <c r="BG68" s="8"/>
      <c r="BH68" s="8"/>
      <c r="BI68" s="8"/>
      <c r="BJ68" s="8"/>
      <c r="BK68" s="8"/>
      <c r="BL68" s="8"/>
      <c r="BM68" s="8"/>
      <c r="BN68" s="8"/>
      <c r="BO68" s="8"/>
      <c r="BP68" s="8"/>
      <c r="BQ68" s="8"/>
      <c r="BR68" s="8"/>
      <c r="BS68" s="8"/>
      <c r="BT68" s="8"/>
      <c r="BU68" s="8"/>
      <c r="BV68" s="8"/>
      <c r="BW68" s="8"/>
      <c r="BX68" s="8"/>
      <c r="BY68" s="8"/>
      <c r="BZ68" s="8"/>
      <c r="CA68" s="8"/>
      <c r="CB68" s="8"/>
      <c r="CC68" s="8"/>
      <c r="CD68" s="8"/>
      <c r="CE68" s="8"/>
      <c r="CF68" s="8"/>
      <c r="CG68" s="8"/>
      <c r="CH68" s="8"/>
      <c r="CI68" s="8"/>
      <c r="CJ68" s="8"/>
      <c r="CK68" s="8"/>
      <c r="CL68" s="8"/>
      <c r="CM68" s="8"/>
      <c r="CN68" s="8"/>
      <c r="CO68" s="8"/>
      <c r="CP68" s="8"/>
      <c r="CQ68" s="8"/>
      <c r="CR68" s="8"/>
    </row>
    <row r="69" spans="1:96" x14ac:dyDescent="0.25">
      <c r="A69" s="8"/>
      <c r="B69" s="8"/>
      <c r="C69" s="8"/>
      <c r="D69" s="8"/>
      <c r="E69" s="8"/>
      <c r="F69" s="8"/>
      <c r="G69" s="8"/>
      <c r="H69" s="8"/>
      <c r="I69" s="8"/>
      <c r="J69" s="8"/>
      <c r="K69" s="8"/>
      <c r="L69" s="8"/>
      <c r="M69" s="8"/>
      <c r="N69" s="8"/>
      <c r="O69" s="8"/>
      <c r="P69" s="8"/>
      <c r="Q69" s="8"/>
      <c r="R69" s="8"/>
      <c r="S69" s="8"/>
      <c r="T69" s="8"/>
      <c r="U69" s="8"/>
      <c r="V69" s="8"/>
      <c r="W69" s="8"/>
      <c r="X69" s="8"/>
      <c r="Y69" s="8"/>
      <c r="Z69" s="8"/>
      <c r="AA69" s="8"/>
      <c r="AB69" s="8"/>
      <c r="AC69" s="8"/>
      <c r="AD69" s="8"/>
      <c r="AE69" s="8"/>
      <c r="AF69" s="8"/>
      <c r="AG69" s="8"/>
      <c r="AH69" s="8"/>
      <c r="AI69" s="8"/>
      <c r="AJ69" s="8"/>
      <c r="AK69" s="8"/>
      <c r="AL69" s="8"/>
      <c r="AM69" s="8"/>
      <c r="AN69" s="8"/>
      <c r="AO69" s="8"/>
      <c r="AP69" s="8"/>
      <c r="AQ69" s="8"/>
      <c r="AR69" s="8"/>
      <c r="AS69" s="8"/>
      <c r="AT69" s="8"/>
      <c r="AU69" s="8"/>
      <c r="AV69" s="8"/>
      <c r="AW69" s="8"/>
      <c r="AX69" s="8"/>
      <c r="AY69" s="8"/>
      <c r="AZ69" s="8"/>
      <c r="BA69" s="8"/>
      <c r="BB69" s="8"/>
      <c r="BC69" s="8"/>
      <c r="BD69" s="8"/>
      <c r="BE69" s="8"/>
      <c r="BF69" s="8"/>
      <c r="BG69" s="8"/>
      <c r="BH69" s="8"/>
      <c r="BI69" s="8"/>
      <c r="BJ69" s="8"/>
      <c r="BK69" s="8"/>
      <c r="BL69" s="8"/>
      <c r="BM69" s="8"/>
      <c r="BN69" s="8"/>
      <c r="BO69" s="8"/>
      <c r="BP69" s="8"/>
      <c r="BQ69" s="8"/>
      <c r="BR69" s="8"/>
      <c r="BS69" s="8"/>
      <c r="BT69" s="8"/>
      <c r="BU69" s="8"/>
      <c r="BV69" s="8"/>
      <c r="BW69" s="8"/>
      <c r="BX69" s="8"/>
      <c r="BY69" s="8"/>
      <c r="BZ69" s="8"/>
      <c r="CA69" s="8"/>
      <c r="CB69" s="8"/>
      <c r="CC69" s="8"/>
      <c r="CD69" s="8"/>
      <c r="CE69" s="8"/>
      <c r="CF69" s="8"/>
      <c r="CG69" s="8"/>
      <c r="CH69" s="8"/>
      <c r="CI69" s="8"/>
      <c r="CJ69" s="8"/>
      <c r="CK69" s="8"/>
      <c r="CL69" s="8"/>
      <c r="CM69" s="8"/>
      <c r="CN69" s="8"/>
      <c r="CO69" s="8"/>
      <c r="CP69" s="8"/>
      <c r="CQ69" s="8"/>
      <c r="CR69" s="8"/>
    </row>
    <row r="70" spans="1:96" x14ac:dyDescent="0.25">
      <c r="A70" s="8"/>
      <c r="B70" s="8"/>
      <c r="C70" s="8"/>
      <c r="D70" s="8"/>
      <c r="E70" s="8"/>
      <c r="F70" s="8"/>
      <c r="G70" s="8"/>
      <c r="H70" s="8"/>
      <c r="I70" s="8"/>
      <c r="J70" s="8"/>
      <c r="K70" s="8"/>
      <c r="L70" s="8"/>
      <c r="M70" s="8"/>
      <c r="N70" s="8"/>
      <c r="O70" s="8"/>
      <c r="P70" s="8"/>
      <c r="Q70" s="8"/>
      <c r="R70" s="8"/>
      <c r="S70" s="8"/>
      <c r="T70" s="8"/>
      <c r="U70" s="8"/>
      <c r="V70" s="8"/>
      <c r="W70" s="8"/>
      <c r="X70" s="8"/>
      <c r="Y70" s="8"/>
      <c r="Z70" s="8"/>
      <c r="AA70" s="8"/>
      <c r="AB70" s="8"/>
      <c r="AC70" s="8"/>
      <c r="AD70" s="8"/>
      <c r="AE70" s="8"/>
      <c r="AF70" s="8"/>
      <c r="AG70" s="8"/>
      <c r="AH70" s="8"/>
      <c r="AI70" s="8"/>
      <c r="AJ70" s="8"/>
      <c r="AK70" s="8"/>
      <c r="AL70" s="8"/>
      <c r="AM70" s="8"/>
      <c r="AN70" s="8"/>
      <c r="AO70" s="8"/>
      <c r="AP70" s="8"/>
      <c r="AQ70" s="8"/>
      <c r="AR70" s="8"/>
      <c r="AS70" s="8"/>
      <c r="AT70" s="8"/>
      <c r="AU70" s="8"/>
      <c r="AV70" s="8"/>
      <c r="AW70" s="8"/>
      <c r="AX70" s="8"/>
      <c r="AY70" s="8"/>
      <c r="AZ70" s="8"/>
      <c r="BA70" s="8"/>
      <c r="BB70" s="8"/>
      <c r="BC70" s="8"/>
      <c r="BD70" s="8"/>
      <c r="BE70" s="8"/>
      <c r="BF70" s="8"/>
      <c r="BG70" s="8"/>
      <c r="BH70" s="8"/>
      <c r="BI70" s="8"/>
      <c r="BJ70" s="8"/>
      <c r="BK70" s="8"/>
      <c r="BL70" s="8"/>
      <c r="BM70" s="8"/>
      <c r="BN70" s="8"/>
      <c r="BO70" s="8"/>
      <c r="BP70" s="8"/>
      <c r="BQ70" s="8"/>
      <c r="BR70" s="8"/>
      <c r="BS70" s="8"/>
      <c r="BT70" s="8"/>
      <c r="BU70" s="8"/>
      <c r="BV70" s="8"/>
      <c r="BW70" s="8"/>
      <c r="BX70" s="8"/>
      <c r="BY70" s="8"/>
      <c r="BZ70" s="8"/>
      <c r="CA70" s="8"/>
      <c r="CB70" s="8"/>
      <c r="CC70" s="8"/>
      <c r="CD70" s="8"/>
      <c r="CE70" s="8"/>
      <c r="CF70" s="8"/>
      <c r="CG70" s="8"/>
      <c r="CH70" s="8"/>
      <c r="CI70" s="8"/>
      <c r="CJ70" s="8"/>
      <c r="CK70" s="8"/>
      <c r="CL70" s="8"/>
      <c r="CM70" s="8"/>
      <c r="CN70" s="8"/>
      <c r="CO70" s="8"/>
      <c r="CP70" s="8"/>
      <c r="CQ70" s="8"/>
      <c r="CR70" s="8"/>
    </row>
    <row r="71" spans="1:96" x14ac:dyDescent="0.25">
      <c r="A71" s="8"/>
      <c r="B71" s="8"/>
      <c r="C71" s="8"/>
      <c r="D71" s="8"/>
      <c r="E71" s="8"/>
      <c r="F71" s="8"/>
      <c r="G71" s="8"/>
      <c r="H71" s="8"/>
      <c r="I71" s="8"/>
      <c r="J71" s="8"/>
      <c r="K71" s="8"/>
      <c r="L71" s="8"/>
      <c r="M71" s="8"/>
      <c r="N71" s="8"/>
      <c r="O71" s="8"/>
      <c r="P71" s="8"/>
      <c r="Q71" s="8"/>
      <c r="R71" s="8"/>
      <c r="S71" s="8"/>
      <c r="T71" s="8"/>
      <c r="U71" s="8"/>
      <c r="V71" s="8"/>
      <c r="W71" s="8"/>
      <c r="X71" s="8"/>
      <c r="Y71" s="8"/>
      <c r="Z71" s="8"/>
      <c r="AA71" s="8"/>
      <c r="AB71" s="8"/>
      <c r="AC71" s="8"/>
      <c r="AD71" s="8"/>
      <c r="AE71" s="8"/>
      <c r="AF71" s="8"/>
      <c r="AG71" s="8"/>
      <c r="AH71" s="8"/>
      <c r="AI71" s="8"/>
      <c r="AJ71" s="8"/>
      <c r="AK71" s="8"/>
      <c r="AL71" s="8"/>
      <c r="AM71" s="8"/>
      <c r="AN71" s="8"/>
      <c r="AO71" s="8"/>
      <c r="AP71" s="8"/>
      <c r="AQ71" s="8"/>
      <c r="AR71" s="8"/>
      <c r="AS71" s="8"/>
      <c r="AT71" s="8"/>
      <c r="AU71" s="8"/>
      <c r="AV71" s="8"/>
      <c r="AW71" s="8"/>
      <c r="AX71" s="8"/>
      <c r="AY71" s="8"/>
      <c r="AZ71" s="8"/>
      <c r="BA71" s="8"/>
      <c r="BB71" s="8"/>
      <c r="BC71" s="8"/>
      <c r="BD71" s="8"/>
      <c r="BE71" s="8"/>
      <c r="BF71" s="8"/>
      <c r="BG71" s="8"/>
      <c r="BH71" s="8"/>
      <c r="BI71" s="8"/>
      <c r="BJ71" s="8"/>
      <c r="BK71" s="8"/>
      <c r="BL71" s="8"/>
      <c r="BM71" s="8"/>
      <c r="BN71" s="8"/>
      <c r="BO71" s="8"/>
      <c r="BP71" s="8"/>
      <c r="BQ71" s="8"/>
      <c r="BR71" s="8"/>
      <c r="BS71" s="8"/>
      <c r="BT71" s="8"/>
      <c r="BU71" s="8"/>
      <c r="BV71" s="8"/>
      <c r="BW71" s="8"/>
      <c r="BX71" s="8"/>
      <c r="BY71" s="8"/>
      <c r="BZ71" s="8"/>
      <c r="CA71" s="8"/>
      <c r="CB71" s="8"/>
      <c r="CC71" s="8"/>
      <c r="CD71" s="8"/>
      <c r="CE71" s="8"/>
      <c r="CF71" s="8"/>
      <c r="CG71" s="8"/>
      <c r="CH71" s="8"/>
      <c r="CI71" s="8"/>
      <c r="CJ71" s="8"/>
      <c r="CK71" s="8"/>
      <c r="CL71" s="8"/>
      <c r="CM71" s="8"/>
      <c r="CN71" s="8"/>
      <c r="CO71" s="8"/>
      <c r="CP71" s="8"/>
      <c r="CQ71" s="8"/>
      <c r="CR71" s="8"/>
    </row>
    <row r="72" spans="1:96" x14ac:dyDescent="0.25">
      <c r="A72" s="8"/>
      <c r="B72" s="8"/>
      <c r="C72" s="8"/>
      <c r="D72" s="8"/>
      <c r="E72" s="8"/>
      <c r="F72" s="8"/>
      <c r="G72" s="8"/>
      <c r="H72" s="8"/>
      <c r="I72" s="8"/>
      <c r="J72" s="8"/>
      <c r="K72" s="8"/>
      <c r="L72" s="8"/>
      <c r="M72" s="8"/>
      <c r="N72" s="8"/>
      <c r="O72" s="8"/>
      <c r="P72" s="8"/>
      <c r="Q72" s="8"/>
      <c r="R72" s="8"/>
      <c r="S72" s="8"/>
      <c r="T72" s="8"/>
      <c r="U72" s="8"/>
      <c r="V72" s="8"/>
      <c r="W72" s="8"/>
      <c r="X72" s="8"/>
      <c r="Y72" s="8"/>
      <c r="Z72" s="8"/>
      <c r="AA72" s="8"/>
      <c r="AB72" s="8"/>
      <c r="AC72" s="8"/>
      <c r="AD72" s="8"/>
      <c r="AE72" s="8"/>
      <c r="AF72" s="8"/>
      <c r="AG72" s="8"/>
      <c r="AH72" s="8"/>
      <c r="AI72" s="8"/>
      <c r="AJ72" s="8"/>
      <c r="AK72" s="8"/>
      <c r="AL72" s="8"/>
      <c r="AM72" s="8"/>
      <c r="AN72" s="8"/>
      <c r="AO72" s="8"/>
      <c r="AP72" s="8"/>
      <c r="AQ72" s="8"/>
      <c r="AR72" s="8"/>
      <c r="AS72" s="8"/>
      <c r="AT72" s="8"/>
      <c r="AU72" s="8"/>
      <c r="AV72" s="8"/>
      <c r="AW72" s="8"/>
      <c r="AX72" s="8"/>
      <c r="AY72" s="8"/>
      <c r="AZ72" s="8"/>
      <c r="BA72" s="8"/>
      <c r="BB72" s="8"/>
      <c r="BC72" s="8"/>
      <c r="BD72" s="8"/>
      <c r="BE72" s="8"/>
      <c r="BF72" s="8"/>
      <c r="BG72" s="8"/>
      <c r="BH72" s="8"/>
      <c r="BI72" s="8"/>
      <c r="BJ72" s="8"/>
      <c r="BK72" s="8"/>
      <c r="BL72" s="8"/>
      <c r="BM72" s="8"/>
      <c r="BN72" s="8"/>
      <c r="BO72" s="8"/>
      <c r="BP72" s="8"/>
      <c r="BQ72" s="8"/>
      <c r="BR72" s="8"/>
      <c r="BS72" s="8"/>
      <c r="BT72" s="8"/>
      <c r="BU72" s="8"/>
      <c r="BV72" s="8"/>
      <c r="BW72" s="8"/>
      <c r="BX72" s="8"/>
      <c r="BY72" s="8"/>
      <c r="BZ72" s="8"/>
      <c r="CA72" s="8"/>
      <c r="CB72" s="8"/>
      <c r="CC72" s="8"/>
      <c r="CD72" s="8"/>
      <c r="CE72" s="8"/>
      <c r="CF72" s="8"/>
      <c r="CG72" s="8"/>
      <c r="CH72" s="8"/>
      <c r="CI72" s="8"/>
      <c r="CJ72" s="8"/>
      <c r="CK72" s="8"/>
      <c r="CL72" s="8"/>
      <c r="CM72" s="8"/>
      <c r="CN72" s="8"/>
      <c r="CO72" s="8"/>
      <c r="CP72" s="8"/>
      <c r="CQ72" s="8"/>
      <c r="CR72" s="8"/>
    </row>
    <row r="73" spans="1:96" x14ac:dyDescent="0.25">
      <c r="A73" s="8"/>
      <c r="B73" s="8"/>
      <c r="C73" s="8"/>
      <c r="D73" s="8"/>
      <c r="E73" s="8"/>
      <c r="F73" s="8"/>
      <c r="G73" s="8"/>
      <c r="H73" s="8"/>
      <c r="I73" s="8"/>
      <c r="J73" s="8"/>
      <c r="K73" s="8"/>
      <c r="L73" s="8"/>
      <c r="M73" s="8"/>
      <c r="N73" s="8"/>
      <c r="O73" s="8"/>
      <c r="P73" s="8"/>
      <c r="Q73" s="8"/>
      <c r="R73" s="8"/>
      <c r="S73" s="8"/>
      <c r="T73" s="8"/>
      <c r="U73" s="8"/>
      <c r="V73" s="8"/>
      <c r="W73" s="8"/>
      <c r="X73" s="8"/>
      <c r="Y73" s="8"/>
      <c r="Z73" s="8"/>
      <c r="AA73" s="8"/>
      <c r="AB73" s="8"/>
      <c r="AC73" s="8"/>
      <c r="AD73" s="8"/>
      <c r="AE73" s="8"/>
      <c r="AF73" s="8"/>
      <c r="AG73" s="8"/>
      <c r="AH73" s="8"/>
      <c r="AI73" s="8"/>
      <c r="AJ73" s="8"/>
      <c r="AK73" s="8"/>
      <c r="AL73" s="8"/>
      <c r="AM73" s="8"/>
      <c r="AN73" s="8"/>
      <c r="AO73" s="8"/>
      <c r="AP73" s="8"/>
      <c r="AQ73" s="8"/>
      <c r="AR73" s="8"/>
      <c r="AS73" s="8"/>
      <c r="AT73" s="8"/>
      <c r="AU73" s="8"/>
      <c r="AV73" s="8"/>
      <c r="AW73" s="8"/>
      <c r="AX73" s="8"/>
      <c r="AY73" s="8"/>
      <c r="AZ73" s="8"/>
      <c r="BA73" s="8"/>
      <c r="BB73" s="8"/>
      <c r="BC73" s="8"/>
      <c r="BD73" s="8"/>
      <c r="BE73" s="8"/>
      <c r="BF73" s="8"/>
      <c r="BG73" s="8"/>
      <c r="BH73" s="8"/>
      <c r="BI73" s="8"/>
      <c r="BJ73" s="8"/>
      <c r="BK73" s="8"/>
      <c r="BL73" s="8"/>
      <c r="BM73" s="8"/>
      <c r="BN73" s="8"/>
      <c r="BO73" s="8"/>
      <c r="BP73" s="8"/>
      <c r="BQ73" s="8"/>
      <c r="BR73" s="8"/>
      <c r="BS73" s="8"/>
      <c r="BT73" s="8"/>
      <c r="BU73" s="8"/>
      <c r="BV73" s="8"/>
      <c r="BW73" s="8"/>
      <c r="BX73" s="8"/>
      <c r="BY73" s="8"/>
      <c r="BZ73" s="8"/>
      <c r="CA73" s="8"/>
      <c r="CB73" s="8"/>
      <c r="CC73" s="8"/>
      <c r="CD73" s="8"/>
      <c r="CE73" s="8"/>
      <c r="CF73" s="8"/>
      <c r="CG73" s="8"/>
      <c r="CH73" s="8"/>
      <c r="CI73" s="8"/>
      <c r="CJ73" s="8"/>
      <c r="CK73" s="8"/>
      <c r="CL73" s="8"/>
      <c r="CM73" s="8"/>
      <c r="CN73" s="8"/>
      <c r="CO73" s="8"/>
      <c r="CP73" s="8"/>
      <c r="CQ73" s="8"/>
      <c r="CR73" s="8"/>
    </row>
    <row r="74" spans="1:96" x14ac:dyDescent="0.25">
      <c r="A74" s="8"/>
      <c r="B74" s="8"/>
      <c r="C74" s="8"/>
      <c r="D74" s="8"/>
      <c r="E74" s="8"/>
      <c r="F74" s="8"/>
      <c r="G74" s="8"/>
      <c r="H74" s="8"/>
      <c r="I74" s="8"/>
      <c r="J74" s="8"/>
      <c r="K74" s="8"/>
      <c r="L74" s="8"/>
      <c r="M74" s="8"/>
      <c r="N74" s="8"/>
      <c r="O74" s="8"/>
      <c r="P74" s="8"/>
      <c r="Q74" s="8"/>
      <c r="R74" s="8"/>
      <c r="S74" s="8"/>
      <c r="T74" s="8"/>
      <c r="U74" s="8"/>
      <c r="V74" s="8"/>
      <c r="W74" s="8"/>
      <c r="X74" s="8"/>
      <c r="Y74" s="8"/>
      <c r="Z74" s="8"/>
      <c r="AA74" s="8"/>
      <c r="AB74" s="8"/>
      <c r="AC74" s="8"/>
      <c r="AD74" s="8"/>
      <c r="AE74" s="8"/>
      <c r="AF74" s="8"/>
      <c r="AG74" s="8"/>
      <c r="AH74" s="8"/>
      <c r="AI74" s="8"/>
      <c r="AJ74" s="8"/>
      <c r="AK74" s="8"/>
      <c r="AL74" s="8"/>
      <c r="AM74" s="8"/>
      <c r="AN74" s="8"/>
      <c r="AO74" s="8"/>
      <c r="AP74" s="8"/>
      <c r="AQ74" s="8"/>
      <c r="AR74" s="8"/>
      <c r="AS74" s="8"/>
      <c r="AT74" s="8"/>
      <c r="AU74" s="8"/>
      <c r="AV74" s="8"/>
      <c r="AW74" s="8"/>
      <c r="AX74" s="8"/>
      <c r="AY74" s="8"/>
      <c r="AZ74" s="8"/>
      <c r="BA74" s="8"/>
      <c r="BB74" s="8"/>
      <c r="BC74" s="8"/>
      <c r="BD74" s="8"/>
      <c r="BE74" s="8"/>
      <c r="BF74" s="8"/>
      <c r="BG74" s="8"/>
      <c r="BH74" s="8"/>
      <c r="BI74" s="8"/>
      <c r="BJ74" s="8"/>
      <c r="BK74" s="8"/>
      <c r="BL74" s="8"/>
      <c r="BM74" s="8"/>
      <c r="BN74" s="8"/>
      <c r="BO74" s="8"/>
      <c r="BP74" s="8"/>
      <c r="BQ74" s="8"/>
      <c r="BR74" s="8"/>
      <c r="BS74" s="8"/>
      <c r="BT74" s="8"/>
      <c r="BU74" s="8"/>
      <c r="BV74" s="8"/>
      <c r="BW74" s="8"/>
      <c r="BX74" s="8"/>
      <c r="BY74" s="8"/>
      <c r="BZ74" s="8"/>
      <c r="CA74" s="8"/>
      <c r="CB74" s="8"/>
      <c r="CC74" s="8"/>
      <c r="CD74" s="8"/>
      <c r="CE74" s="8"/>
      <c r="CF74" s="8"/>
      <c r="CG74" s="8"/>
      <c r="CH74" s="8"/>
      <c r="CI74" s="8"/>
      <c r="CJ74" s="8"/>
      <c r="CK74" s="8"/>
      <c r="CL74" s="8"/>
      <c r="CM74" s="8"/>
      <c r="CN74" s="8"/>
      <c r="CO74" s="8"/>
      <c r="CP74" s="8"/>
      <c r="CQ74" s="8"/>
      <c r="CR74" s="8"/>
    </row>
    <row r="75" spans="1:96" x14ac:dyDescent="0.25">
      <c r="A75" s="8"/>
      <c r="B75" s="8"/>
      <c r="C75" s="8"/>
      <c r="D75" s="8"/>
      <c r="E75" s="8"/>
      <c r="F75" s="8"/>
      <c r="G75" s="8"/>
      <c r="H75" s="8"/>
      <c r="I75" s="8"/>
      <c r="J75" s="8"/>
      <c r="K75" s="8"/>
      <c r="L75" s="8"/>
      <c r="M75" s="8"/>
      <c r="N75" s="8"/>
      <c r="O75" s="8"/>
      <c r="P75" s="8"/>
      <c r="Q75" s="8"/>
      <c r="R75" s="8"/>
      <c r="S75" s="8"/>
      <c r="T75" s="8"/>
      <c r="U75" s="8"/>
      <c r="V75" s="8"/>
      <c r="W75" s="8"/>
      <c r="X75" s="8"/>
      <c r="Y75" s="8"/>
      <c r="Z75" s="8"/>
      <c r="AA75" s="8"/>
      <c r="AB75" s="8"/>
      <c r="AC75" s="8"/>
      <c r="AD75" s="8"/>
      <c r="AE75" s="8"/>
      <c r="AF75" s="8"/>
      <c r="AG75" s="8"/>
      <c r="AH75" s="8"/>
      <c r="AI75" s="8"/>
      <c r="AJ75" s="8"/>
      <c r="AK75" s="8"/>
      <c r="AL75" s="8"/>
      <c r="AM75" s="8"/>
      <c r="AN75" s="8"/>
      <c r="AO75" s="8"/>
      <c r="AP75" s="8"/>
      <c r="AQ75" s="8"/>
      <c r="AR75" s="8"/>
      <c r="AS75" s="8"/>
      <c r="AT75" s="8"/>
      <c r="AU75" s="8"/>
      <c r="AV75" s="8"/>
      <c r="AW75" s="8"/>
      <c r="AX75" s="8"/>
      <c r="AY75" s="8"/>
      <c r="AZ75" s="8"/>
      <c r="BA75" s="8"/>
      <c r="BB75" s="8"/>
      <c r="BC75" s="8"/>
      <c r="BD75" s="8"/>
      <c r="BE75" s="8"/>
      <c r="BF75" s="8"/>
      <c r="BG75" s="8"/>
      <c r="BH75" s="8"/>
      <c r="BI75" s="8"/>
      <c r="BJ75" s="8"/>
      <c r="BK75" s="8"/>
      <c r="BL75" s="8"/>
      <c r="BM75" s="8"/>
      <c r="BN75" s="8"/>
      <c r="BO75" s="8"/>
      <c r="BP75" s="8"/>
      <c r="BQ75" s="8"/>
      <c r="BR75" s="8"/>
      <c r="BS75" s="8"/>
      <c r="BT75" s="8"/>
      <c r="BU75" s="8"/>
      <c r="BV75" s="8"/>
      <c r="BW75" s="8"/>
      <c r="BX75" s="8"/>
      <c r="BY75" s="8"/>
      <c r="BZ75" s="8"/>
      <c r="CA75" s="8"/>
      <c r="CB75" s="8"/>
      <c r="CC75" s="8"/>
      <c r="CD75" s="8"/>
      <c r="CE75" s="8"/>
      <c r="CF75" s="8"/>
      <c r="CG75" s="8"/>
      <c r="CH75" s="8"/>
      <c r="CI75" s="8"/>
      <c r="CJ75" s="8"/>
      <c r="CK75" s="8"/>
      <c r="CL75" s="8"/>
      <c r="CM75" s="8"/>
      <c r="CN75" s="8"/>
      <c r="CO75" s="8"/>
      <c r="CP75" s="8"/>
      <c r="CQ75" s="8"/>
      <c r="CR75" s="8"/>
    </row>
    <row r="76" spans="1:96" x14ac:dyDescent="0.25">
      <c r="A76" s="8"/>
      <c r="B76" s="8"/>
      <c r="C76" s="8"/>
      <c r="D76" s="8"/>
      <c r="E76" s="8"/>
      <c r="F76" s="8"/>
      <c r="G76" s="8"/>
      <c r="H76" s="8"/>
      <c r="I76" s="8"/>
      <c r="J76" s="8"/>
      <c r="K76" s="8"/>
      <c r="L76" s="8"/>
      <c r="M76" s="8"/>
      <c r="N76" s="8"/>
      <c r="O76" s="8"/>
      <c r="P76" s="8"/>
      <c r="Q76" s="8"/>
      <c r="R76" s="8"/>
      <c r="S76" s="8"/>
      <c r="T76" s="8"/>
      <c r="U76" s="8"/>
      <c r="V76" s="8"/>
      <c r="W76" s="8"/>
      <c r="X76" s="8"/>
      <c r="Y76" s="8"/>
      <c r="Z76" s="8"/>
      <c r="AA76" s="8"/>
      <c r="AB76" s="8"/>
      <c r="AC76" s="8"/>
      <c r="AD76" s="8"/>
      <c r="AE76" s="8"/>
      <c r="AF76" s="8"/>
      <c r="AG76" s="8"/>
      <c r="AH76" s="8"/>
      <c r="AI76" s="8"/>
      <c r="AJ76" s="8"/>
      <c r="AK76" s="8"/>
      <c r="AL76" s="8"/>
      <c r="AM76" s="8"/>
      <c r="AN76" s="8"/>
      <c r="AO76" s="8"/>
      <c r="AP76" s="8"/>
      <c r="AQ76" s="8"/>
      <c r="AR76" s="8"/>
      <c r="AS76" s="8"/>
      <c r="AT76" s="8"/>
      <c r="AU76" s="8"/>
      <c r="AV76" s="8"/>
      <c r="AW76" s="8"/>
      <c r="AX76" s="8"/>
      <c r="AY76" s="8"/>
      <c r="AZ76" s="8"/>
      <c r="BA76" s="8"/>
      <c r="BB76" s="8"/>
      <c r="BC76" s="8"/>
      <c r="BD76" s="8"/>
      <c r="BE76" s="8"/>
      <c r="BF76" s="8"/>
      <c r="BG76" s="8"/>
      <c r="BH76" s="8"/>
      <c r="BI76" s="8"/>
      <c r="BJ76" s="8"/>
      <c r="BK76" s="8"/>
      <c r="BL76" s="8"/>
      <c r="BM76" s="8"/>
      <c r="BN76" s="8"/>
      <c r="BO76" s="8"/>
      <c r="BP76" s="8"/>
      <c r="BQ76" s="8"/>
      <c r="BR76" s="8"/>
      <c r="BS76" s="8"/>
      <c r="BT76" s="8"/>
      <c r="BU76" s="8"/>
      <c r="BV76" s="8"/>
      <c r="BW76" s="8"/>
      <c r="BX76" s="8"/>
      <c r="BY76" s="8"/>
      <c r="BZ76" s="8"/>
      <c r="CA76" s="8"/>
      <c r="CB76" s="8"/>
      <c r="CC76" s="8"/>
      <c r="CD76" s="8"/>
      <c r="CE76" s="8"/>
      <c r="CF76" s="8"/>
      <c r="CG76" s="8"/>
      <c r="CH76" s="8"/>
      <c r="CI76" s="8"/>
      <c r="CJ76" s="8"/>
      <c r="CK76" s="8"/>
      <c r="CL76" s="8"/>
      <c r="CM76" s="8"/>
      <c r="CN76" s="8"/>
      <c r="CO76" s="8"/>
      <c r="CP76" s="8"/>
      <c r="CQ76" s="8"/>
      <c r="CR76" s="8"/>
    </row>
    <row r="77" spans="1:96" x14ac:dyDescent="0.25">
      <c r="A77" s="8"/>
      <c r="B77" s="8"/>
      <c r="C77" s="8"/>
      <c r="D77" s="8"/>
      <c r="E77" s="8"/>
      <c r="F77" s="8"/>
      <c r="G77" s="8"/>
      <c r="H77" s="8"/>
      <c r="I77" s="8"/>
      <c r="J77" s="8"/>
      <c r="K77" s="8"/>
      <c r="L77" s="8"/>
      <c r="M77" s="8"/>
      <c r="N77" s="8"/>
      <c r="O77" s="8"/>
      <c r="P77" s="8"/>
      <c r="Q77" s="8"/>
      <c r="R77" s="8"/>
      <c r="S77" s="8"/>
      <c r="T77" s="8"/>
      <c r="U77" s="8"/>
      <c r="V77" s="8"/>
      <c r="W77" s="8"/>
      <c r="X77" s="8"/>
      <c r="Y77" s="8"/>
      <c r="Z77" s="8"/>
      <c r="AA77" s="8"/>
      <c r="AB77" s="8"/>
      <c r="AC77" s="8"/>
      <c r="AD77" s="8"/>
      <c r="AE77" s="8"/>
      <c r="AF77" s="8"/>
      <c r="AG77" s="8"/>
      <c r="AH77" s="8"/>
      <c r="AI77" s="8"/>
      <c r="AJ77" s="8"/>
      <c r="AK77" s="8"/>
      <c r="AL77" s="8"/>
      <c r="AM77" s="8"/>
      <c r="AN77" s="8"/>
      <c r="AO77" s="8"/>
      <c r="AP77" s="8"/>
      <c r="AQ77" s="8"/>
      <c r="AR77" s="8"/>
      <c r="AS77" s="8"/>
      <c r="AT77" s="8"/>
      <c r="AU77" s="8"/>
      <c r="AV77" s="8"/>
      <c r="AW77" s="8"/>
      <c r="AX77" s="8"/>
      <c r="AY77" s="8"/>
      <c r="AZ77" s="8"/>
      <c r="BA77" s="8"/>
      <c r="BB77" s="8"/>
      <c r="BC77" s="8"/>
      <c r="BD77" s="8"/>
      <c r="BE77" s="8"/>
      <c r="BF77" s="8"/>
      <c r="BG77" s="8"/>
      <c r="BH77" s="8"/>
      <c r="BI77" s="8"/>
      <c r="BJ77" s="8"/>
      <c r="BK77" s="8"/>
      <c r="BL77" s="8"/>
      <c r="BM77" s="8"/>
      <c r="BN77" s="8"/>
      <c r="BO77" s="8"/>
      <c r="BP77" s="8"/>
      <c r="BQ77" s="8"/>
      <c r="BR77" s="8"/>
      <c r="BS77" s="8"/>
      <c r="BT77" s="8"/>
      <c r="BU77" s="8"/>
      <c r="BV77" s="8"/>
      <c r="BW77" s="8"/>
      <c r="BX77" s="8"/>
      <c r="BY77" s="8"/>
      <c r="BZ77" s="8"/>
      <c r="CA77" s="8"/>
      <c r="CB77" s="8"/>
      <c r="CC77" s="8"/>
      <c r="CD77" s="8"/>
      <c r="CE77" s="8"/>
      <c r="CF77" s="8"/>
      <c r="CG77" s="8"/>
      <c r="CH77" s="8"/>
      <c r="CI77" s="8"/>
      <c r="CJ77" s="8"/>
      <c r="CK77" s="8"/>
      <c r="CL77" s="8"/>
      <c r="CM77" s="8"/>
      <c r="CN77" s="8"/>
      <c r="CO77" s="8"/>
      <c r="CP77" s="8"/>
      <c r="CQ77" s="8"/>
      <c r="CR77" s="8"/>
    </row>
    <row r="78" spans="1:96" x14ac:dyDescent="0.25">
      <c r="A78" s="8"/>
      <c r="B78" s="8"/>
      <c r="C78" s="8"/>
      <c r="D78" s="8"/>
      <c r="E78" s="8"/>
      <c r="F78" s="8"/>
      <c r="G78" s="8"/>
      <c r="H78" s="8"/>
      <c r="I78" s="8"/>
      <c r="J78" s="8"/>
      <c r="K78" s="8"/>
      <c r="L78" s="8"/>
      <c r="M78" s="8"/>
      <c r="N78" s="8"/>
      <c r="O78" s="8"/>
      <c r="P78" s="8"/>
      <c r="Q78" s="8"/>
      <c r="R78" s="8"/>
      <c r="S78" s="8"/>
      <c r="T78" s="8"/>
      <c r="U78" s="8"/>
      <c r="V78" s="8"/>
      <c r="W78" s="8"/>
      <c r="X78" s="8"/>
      <c r="Y78" s="8"/>
      <c r="Z78" s="8"/>
      <c r="AA78" s="8"/>
      <c r="AB78" s="8"/>
      <c r="AC78" s="8"/>
      <c r="AD78" s="8"/>
      <c r="AE78" s="8"/>
      <c r="AF78" s="8"/>
      <c r="AG78" s="8"/>
      <c r="AH78" s="8"/>
      <c r="AI78" s="8"/>
      <c r="AJ78" s="8"/>
      <c r="AK78" s="8"/>
      <c r="AL78" s="8"/>
      <c r="AM78" s="8"/>
      <c r="AN78" s="8"/>
      <c r="AO78" s="8"/>
      <c r="AP78" s="8"/>
      <c r="AQ78" s="8"/>
      <c r="AR78" s="8"/>
      <c r="AS78" s="8"/>
      <c r="AT78" s="8"/>
      <c r="AU78" s="8"/>
      <c r="AV78" s="8"/>
      <c r="AW78" s="8"/>
      <c r="AX78" s="8"/>
      <c r="AY78" s="8"/>
      <c r="AZ78" s="8"/>
      <c r="BA78" s="8"/>
      <c r="BB78" s="8"/>
      <c r="BC78" s="8"/>
      <c r="BD78" s="8"/>
      <c r="BE78" s="8"/>
      <c r="BF78" s="8"/>
      <c r="BG78" s="8"/>
      <c r="BH78" s="8"/>
      <c r="BI78" s="8"/>
      <c r="BJ78" s="8"/>
      <c r="BK78" s="8"/>
      <c r="BL78" s="8"/>
      <c r="BM78" s="8"/>
      <c r="BN78" s="8"/>
      <c r="BO78" s="8"/>
      <c r="BP78" s="8"/>
      <c r="BQ78" s="8"/>
      <c r="BR78" s="8"/>
      <c r="BS78" s="8"/>
      <c r="BT78" s="8"/>
      <c r="BU78" s="8"/>
      <c r="BV78" s="8"/>
      <c r="BW78" s="8"/>
      <c r="BX78" s="8"/>
      <c r="BY78" s="8"/>
      <c r="BZ78" s="8"/>
      <c r="CA78" s="8"/>
      <c r="CB78" s="8"/>
      <c r="CC78" s="8"/>
      <c r="CD78" s="8"/>
      <c r="CE78" s="8"/>
      <c r="CF78" s="8"/>
      <c r="CG78" s="8"/>
      <c r="CH78" s="8"/>
      <c r="CI78" s="8"/>
      <c r="CJ78" s="8"/>
      <c r="CK78" s="8"/>
      <c r="CL78" s="8"/>
      <c r="CM78" s="8"/>
      <c r="CN78" s="8"/>
      <c r="CO78" s="8"/>
      <c r="CP78" s="8"/>
      <c r="CQ78" s="8"/>
      <c r="CR78" s="8"/>
    </row>
    <row r="79" spans="1:96" x14ac:dyDescent="0.25">
      <c r="A79" s="8"/>
      <c r="B79" s="8"/>
      <c r="C79" s="8"/>
      <c r="D79" s="8"/>
      <c r="E79" s="8"/>
      <c r="F79" s="8"/>
      <c r="G79" s="8"/>
      <c r="H79" s="8"/>
      <c r="I79" s="8"/>
      <c r="J79" s="8"/>
      <c r="K79" s="8"/>
      <c r="L79" s="8"/>
      <c r="M79" s="8"/>
      <c r="N79" s="8"/>
      <c r="O79" s="8"/>
      <c r="P79" s="8"/>
      <c r="Q79" s="8"/>
      <c r="R79" s="8"/>
      <c r="S79" s="8"/>
      <c r="T79" s="8"/>
      <c r="U79" s="8"/>
      <c r="V79" s="8"/>
      <c r="W79" s="8"/>
      <c r="X79" s="8"/>
      <c r="Y79" s="8"/>
      <c r="Z79" s="8"/>
      <c r="AA79" s="8"/>
      <c r="AB79" s="8"/>
      <c r="AC79" s="8"/>
      <c r="AD79" s="8"/>
      <c r="AE79" s="8"/>
      <c r="AF79" s="8"/>
      <c r="AG79" s="8"/>
      <c r="AH79" s="8"/>
      <c r="AI79" s="8"/>
      <c r="AJ79" s="8"/>
      <c r="AK79" s="8"/>
      <c r="AL79" s="8"/>
      <c r="AM79" s="8"/>
      <c r="AN79" s="8"/>
      <c r="AO79" s="8"/>
      <c r="AP79" s="8"/>
      <c r="AQ79" s="8"/>
      <c r="AR79" s="8"/>
      <c r="AS79" s="8"/>
      <c r="AT79" s="8"/>
      <c r="AU79" s="8"/>
      <c r="AV79" s="8"/>
      <c r="AW79" s="8"/>
      <c r="AX79" s="8"/>
      <c r="AY79" s="8"/>
      <c r="AZ79" s="8"/>
      <c r="BA79" s="8"/>
      <c r="BB79" s="8"/>
      <c r="BC79" s="8"/>
      <c r="BD79" s="8"/>
      <c r="BE79" s="8"/>
      <c r="BF79" s="8"/>
      <c r="BG79" s="8"/>
      <c r="BH79" s="8"/>
      <c r="BI79" s="8"/>
      <c r="BJ79" s="8"/>
      <c r="BK79" s="8"/>
      <c r="BL79" s="8"/>
      <c r="BM79" s="8"/>
      <c r="BN79" s="8"/>
      <c r="BO79" s="8"/>
      <c r="BP79" s="8"/>
      <c r="BQ79" s="8"/>
      <c r="BR79" s="8"/>
      <c r="BS79" s="8"/>
      <c r="BT79" s="8"/>
      <c r="BU79" s="8"/>
      <c r="BV79" s="8"/>
      <c r="BW79" s="8"/>
      <c r="BX79" s="8"/>
      <c r="BY79" s="8"/>
      <c r="BZ79" s="8"/>
      <c r="CA79" s="8"/>
      <c r="CB79" s="8"/>
      <c r="CC79" s="8"/>
      <c r="CD79" s="8"/>
      <c r="CE79" s="8"/>
      <c r="CF79" s="8"/>
      <c r="CG79" s="8"/>
      <c r="CH79" s="8"/>
      <c r="CI79" s="8"/>
      <c r="CJ79" s="8"/>
      <c r="CK79" s="8"/>
      <c r="CL79" s="8"/>
      <c r="CM79" s="8"/>
      <c r="CN79" s="8"/>
      <c r="CO79" s="8"/>
      <c r="CP79" s="8"/>
      <c r="CQ79" s="8"/>
      <c r="CR79" s="8"/>
    </row>
    <row r="80" spans="1:96" x14ac:dyDescent="0.25">
      <c r="A80" s="8"/>
      <c r="B80" s="8"/>
      <c r="C80" s="8"/>
      <c r="D80" s="8"/>
      <c r="E80" s="8"/>
      <c r="F80" s="8"/>
      <c r="G80" s="8"/>
      <c r="H80" s="8"/>
      <c r="I80" s="8"/>
      <c r="J80" s="8"/>
      <c r="K80" s="8"/>
      <c r="L80" s="8"/>
      <c r="M80" s="8"/>
      <c r="N80" s="8"/>
      <c r="O80" s="8"/>
      <c r="P80" s="8"/>
      <c r="Q80" s="8"/>
      <c r="R80" s="8"/>
      <c r="S80" s="8"/>
      <c r="T80" s="8"/>
      <c r="U80" s="8"/>
      <c r="V80" s="8"/>
      <c r="W80" s="8"/>
      <c r="X80" s="8"/>
      <c r="Y80" s="8"/>
      <c r="Z80" s="8"/>
      <c r="AA80" s="8"/>
      <c r="AB80" s="8"/>
      <c r="AC80" s="8"/>
      <c r="AD80" s="8"/>
      <c r="AE80" s="8"/>
      <c r="AF80" s="8"/>
      <c r="AG80" s="8"/>
      <c r="AH80" s="8"/>
      <c r="AI80" s="8"/>
      <c r="AJ80" s="8"/>
      <c r="AK80" s="8"/>
      <c r="AL80" s="8"/>
      <c r="AM80" s="8"/>
      <c r="AN80" s="8"/>
      <c r="AO80" s="8"/>
      <c r="AP80" s="8"/>
      <c r="AQ80" s="8"/>
      <c r="AR80" s="8"/>
      <c r="AS80" s="8"/>
      <c r="AT80" s="8"/>
      <c r="AU80" s="8"/>
      <c r="AV80" s="8"/>
      <c r="AW80" s="8"/>
      <c r="AX80" s="8"/>
      <c r="AY80" s="8"/>
      <c r="AZ80" s="8"/>
      <c r="BA80" s="8"/>
      <c r="BB80" s="8"/>
      <c r="BC80" s="8"/>
      <c r="BD80" s="8"/>
      <c r="BE80" s="8"/>
      <c r="BF80" s="8"/>
      <c r="BG80" s="8"/>
      <c r="BH80" s="8"/>
      <c r="BI80" s="8"/>
      <c r="BJ80" s="8"/>
      <c r="BK80" s="8"/>
      <c r="BL80" s="8"/>
      <c r="BM80" s="8"/>
      <c r="BN80" s="8"/>
      <c r="BO80" s="8"/>
      <c r="BP80" s="8"/>
      <c r="BQ80" s="8"/>
      <c r="BR80" s="8"/>
      <c r="BS80" s="8"/>
      <c r="BT80" s="8"/>
      <c r="BU80" s="8"/>
      <c r="BV80" s="8"/>
      <c r="BW80" s="8"/>
      <c r="BX80" s="8"/>
      <c r="BY80" s="8"/>
      <c r="BZ80" s="8"/>
      <c r="CA80" s="8"/>
      <c r="CB80" s="8"/>
      <c r="CC80" s="8"/>
      <c r="CD80" s="8"/>
      <c r="CE80" s="8"/>
      <c r="CF80" s="8"/>
      <c r="CG80" s="8"/>
      <c r="CH80" s="8"/>
      <c r="CI80" s="8"/>
      <c r="CJ80" s="8"/>
      <c r="CK80" s="8"/>
      <c r="CL80" s="8"/>
      <c r="CM80" s="8"/>
      <c r="CN80" s="8"/>
      <c r="CO80" s="8"/>
      <c r="CP80" s="8"/>
      <c r="CQ80" s="8"/>
      <c r="CR80" s="8"/>
    </row>
    <row r="81" spans="1:96" x14ac:dyDescent="0.25">
      <c r="A81" s="8"/>
      <c r="B81" s="8"/>
      <c r="C81" s="8"/>
      <c r="D81" s="8"/>
      <c r="E81" s="8"/>
      <c r="F81" s="8"/>
      <c r="G81" s="8"/>
      <c r="H81" s="8"/>
      <c r="I81" s="8"/>
      <c r="J81" s="8"/>
      <c r="K81" s="8"/>
      <c r="L81" s="8"/>
      <c r="M81" s="8"/>
      <c r="N81" s="8"/>
      <c r="O81" s="8"/>
      <c r="P81" s="8"/>
      <c r="Q81" s="8"/>
      <c r="R81" s="8"/>
      <c r="S81" s="8"/>
      <c r="T81" s="8"/>
      <c r="U81" s="8"/>
      <c r="V81" s="8"/>
      <c r="W81" s="8"/>
      <c r="X81" s="8"/>
      <c r="Y81" s="8"/>
      <c r="Z81" s="8"/>
      <c r="AA81" s="8"/>
      <c r="AB81" s="8"/>
      <c r="AC81" s="8"/>
      <c r="AD81" s="8"/>
      <c r="AE81" s="8"/>
      <c r="AF81" s="8"/>
      <c r="AG81" s="8"/>
      <c r="AH81" s="8"/>
      <c r="AI81" s="8"/>
      <c r="AJ81" s="8"/>
      <c r="AK81" s="8"/>
      <c r="AL81" s="8"/>
      <c r="AM81" s="8"/>
      <c r="AN81" s="8"/>
      <c r="AO81" s="8"/>
      <c r="AP81" s="8"/>
      <c r="AQ81" s="8"/>
      <c r="AR81" s="8"/>
      <c r="AS81" s="8"/>
      <c r="AT81" s="8"/>
      <c r="AU81" s="8"/>
      <c r="AV81" s="8"/>
      <c r="AW81" s="8"/>
      <c r="AX81" s="8"/>
      <c r="AY81" s="8"/>
      <c r="AZ81" s="8"/>
      <c r="BA81" s="8"/>
      <c r="BB81" s="8"/>
      <c r="BC81" s="8"/>
      <c r="BD81" s="8"/>
      <c r="BE81" s="8"/>
      <c r="BF81" s="8"/>
      <c r="BG81" s="8"/>
      <c r="BH81" s="8"/>
      <c r="BI81" s="8"/>
      <c r="BJ81" s="8"/>
      <c r="BK81" s="8"/>
      <c r="BL81" s="8"/>
      <c r="BM81" s="8"/>
      <c r="BN81" s="8"/>
      <c r="BO81" s="8"/>
      <c r="BP81" s="8"/>
      <c r="BQ81" s="8"/>
      <c r="BR81" s="8"/>
      <c r="BS81" s="8"/>
      <c r="BT81" s="8"/>
      <c r="BU81" s="8"/>
      <c r="BV81" s="8"/>
      <c r="BW81" s="8"/>
      <c r="BX81" s="8"/>
      <c r="BY81" s="8"/>
      <c r="BZ81" s="8"/>
      <c r="CA81" s="8"/>
      <c r="CB81" s="8"/>
      <c r="CC81" s="8"/>
      <c r="CD81" s="8"/>
      <c r="CE81" s="8"/>
      <c r="CF81" s="8"/>
      <c r="CG81" s="8"/>
      <c r="CH81" s="8"/>
      <c r="CI81" s="8"/>
      <c r="CJ81" s="8"/>
      <c r="CK81" s="8"/>
      <c r="CL81" s="8"/>
      <c r="CM81" s="8"/>
      <c r="CN81" s="8"/>
      <c r="CO81" s="8"/>
      <c r="CP81" s="8"/>
      <c r="CQ81" s="8"/>
      <c r="CR81" s="8"/>
    </row>
    <row r="82" spans="1:96" x14ac:dyDescent="0.25">
      <c r="A82" s="8"/>
      <c r="B82" s="8"/>
      <c r="C82" s="8"/>
      <c r="D82" s="8"/>
      <c r="E82" s="8"/>
      <c r="F82" s="8"/>
      <c r="G82" s="8"/>
      <c r="H82" s="8"/>
      <c r="I82" s="8"/>
      <c r="J82" s="8"/>
      <c r="K82" s="8"/>
      <c r="L82" s="8"/>
      <c r="M82" s="8"/>
      <c r="N82" s="8"/>
      <c r="O82" s="8"/>
      <c r="P82" s="8"/>
      <c r="Q82" s="8"/>
      <c r="R82" s="8"/>
      <c r="S82" s="8"/>
      <c r="T82" s="8"/>
      <c r="U82" s="8"/>
      <c r="V82" s="8"/>
      <c r="W82" s="8"/>
      <c r="X82" s="8"/>
      <c r="Y82" s="8"/>
      <c r="Z82" s="8"/>
      <c r="AA82" s="8"/>
      <c r="AB82" s="8"/>
      <c r="AC82" s="8"/>
      <c r="AD82" s="8"/>
      <c r="AE82" s="8"/>
      <c r="AF82" s="8"/>
      <c r="AG82" s="8"/>
      <c r="AH82" s="8"/>
      <c r="AI82" s="8"/>
      <c r="AJ82" s="8"/>
      <c r="AK82" s="8"/>
      <c r="AL82" s="8"/>
      <c r="AM82" s="8"/>
      <c r="AN82" s="8"/>
      <c r="AO82" s="8"/>
      <c r="AP82" s="8"/>
      <c r="AQ82" s="8"/>
      <c r="AR82" s="8"/>
      <c r="AS82" s="8"/>
      <c r="AT82" s="8"/>
      <c r="AU82" s="8"/>
      <c r="AV82" s="8"/>
      <c r="AW82" s="8"/>
      <c r="AX82" s="8"/>
      <c r="AY82" s="8"/>
      <c r="AZ82" s="8"/>
      <c r="BA82" s="8"/>
      <c r="BB82" s="8"/>
      <c r="BC82" s="8"/>
      <c r="BD82" s="8"/>
      <c r="BE82" s="8"/>
      <c r="BF82" s="8"/>
      <c r="BG82" s="8"/>
      <c r="BH82" s="8"/>
      <c r="BI82" s="8"/>
      <c r="BJ82" s="8"/>
      <c r="BK82" s="8"/>
      <c r="BL82" s="8"/>
      <c r="BM82" s="8"/>
      <c r="BN82" s="8"/>
      <c r="BO82" s="8"/>
      <c r="BP82" s="8"/>
      <c r="BQ82" s="8"/>
      <c r="BR82" s="8"/>
      <c r="BS82" s="8"/>
      <c r="BT82" s="8"/>
      <c r="BU82" s="8"/>
      <c r="BV82" s="8"/>
      <c r="BW82" s="8"/>
      <c r="BX82" s="8"/>
      <c r="BY82" s="8"/>
      <c r="BZ82" s="8"/>
      <c r="CA82" s="8"/>
      <c r="CB82" s="8"/>
      <c r="CC82" s="8"/>
      <c r="CD82" s="8"/>
      <c r="CE82" s="8"/>
      <c r="CF82" s="8"/>
      <c r="CG82" s="8"/>
      <c r="CH82" s="8"/>
      <c r="CI82" s="8"/>
      <c r="CJ82" s="8"/>
      <c r="CK82" s="8"/>
      <c r="CL82" s="8"/>
      <c r="CM82" s="8"/>
      <c r="CN82" s="8"/>
      <c r="CO82" s="8"/>
      <c r="CP82" s="8"/>
      <c r="CQ82" s="8"/>
      <c r="CR82" s="8"/>
    </row>
    <row r="83" spans="1:96" x14ac:dyDescent="0.25">
      <c r="A83" s="8"/>
      <c r="B83" s="8"/>
      <c r="C83" s="8"/>
      <c r="D83" s="8"/>
      <c r="E83" s="8"/>
      <c r="F83" s="8"/>
      <c r="G83" s="8"/>
      <c r="H83" s="8"/>
      <c r="I83" s="8"/>
      <c r="J83" s="8"/>
      <c r="K83" s="8"/>
      <c r="L83" s="8"/>
      <c r="M83" s="8"/>
      <c r="N83" s="8"/>
      <c r="O83" s="8"/>
      <c r="P83" s="8"/>
      <c r="Q83" s="8"/>
      <c r="R83" s="8"/>
      <c r="S83" s="8"/>
      <c r="T83" s="8"/>
      <c r="U83" s="8"/>
      <c r="V83" s="8"/>
      <c r="W83" s="8"/>
      <c r="X83" s="8"/>
      <c r="Y83" s="8"/>
      <c r="Z83" s="8"/>
      <c r="AA83" s="8"/>
      <c r="AB83" s="8"/>
      <c r="AC83" s="8"/>
      <c r="AD83" s="8"/>
      <c r="AE83" s="8"/>
      <c r="AF83" s="8"/>
      <c r="AG83" s="8"/>
      <c r="AH83" s="8"/>
      <c r="AI83" s="8"/>
      <c r="AJ83" s="8"/>
      <c r="AK83" s="8"/>
      <c r="AL83" s="8"/>
      <c r="AM83" s="8"/>
      <c r="AN83" s="8"/>
      <c r="AO83" s="8"/>
      <c r="AP83" s="8"/>
      <c r="AQ83" s="8"/>
      <c r="AR83" s="8"/>
      <c r="AS83" s="8"/>
      <c r="AT83" s="8"/>
      <c r="AU83" s="8"/>
      <c r="AV83" s="8"/>
      <c r="AW83" s="8"/>
      <c r="AX83" s="8"/>
      <c r="AY83" s="8"/>
      <c r="AZ83" s="8"/>
      <c r="BA83" s="8"/>
      <c r="BB83" s="8"/>
      <c r="BC83" s="8"/>
      <c r="BD83" s="8"/>
      <c r="BE83" s="8"/>
      <c r="BF83" s="8"/>
      <c r="BG83" s="8"/>
      <c r="BH83" s="8"/>
      <c r="BI83" s="8"/>
      <c r="BJ83" s="8"/>
      <c r="BK83" s="8"/>
      <c r="BL83" s="8"/>
      <c r="BM83" s="8"/>
      <c r="BN83" s="8"/>
      <c r="BO83" s="8"/>
      <c r="BP83" s="8"/>
      <c r="BQ83" s="8"/>
      <c r="BR83" s="8"/>
      <c r="BS83" s="8"/>
      <c r="BT83" s="8"/>
      <c r="BU83" s="8"/>
      <c r="BV83" s="8"/>
      <c r="BW83" s="8"/>
      <c r="BX83" s="8"/>
      <c r="BY83" s="8"/>
      <c r="BZ83" s="8"/>
      <c r="CA83" s="8"/>
      <c r="CB83" s="8"/>
      <c r="CC83" s="8"/>
      <c r="CD83" s="8"/>
      <c r="CE83" s="8"/>
      <c r="CF83" s="8"/>
      <c r="CG83" s="8"/>
      <c r="CH83" s="8"/>
      <c r="CI83" s="8"/>
      <c r="CJ83" s="8"/>
      <c r="CK83" s="8"/>
      <c r="CL83" s="8"/>
      <c r="CM83" s="8"/>
      <c r="CN83" s="8"/>
      <c r="CO83" s="8"/>
      <c r="CP83" s="8"/>
      <c r="CQ83" s="8"/>
      <c r="CR83" s="8"/>
    </row>
    <row r="84" spans="1:96" x14ac:dyDescent="0.25">
      <c r="A84" s="8"/>
      <c r="B84" s="8"/>
      <c r="C84" s="8"/>
      <c r="D84" s="8"/>
      <c r="E84" s="8"/>
      <c r="F84" s="8"/>
      <c r="G84" s="8"/>
      <c r="H84" s="8"/>
      <c r="I84" s="8"/>
      <c r="J84" s="8"/>
      <c r="K84" s="8"/>
      <c r="L84" s="8"/>
      <c r="M84" s="8"/>
      <c r="N84" s="8"/>
      <c r="O84" s="8"/>
      <c r="P84" s="8"/>
      <c r="Q84" s="8"/>
      <c r="R84" s="8"/>
      <c r="S84" s="8"/>
      <c r="T84" s="8"/>
      <c r="U84" s="8"/>
      <c r="V84" s="8"/>
      <c r="W84" s="8"/>
      <c r="X84" s="8"/>
      <c r="Y84" s="8"/>
      <c r="Z84" s="8"/>
      <c r="AA84" s="8"/>
      <c r="AB84" s="8"/>
      <c r="AC84" s="8"/>
      <c r="AD84" s="8"/>
      <c r="AE84" s="8"/>
      <c r="AF84" s="8"/>
      <c r="AG84" s="8"/>
      <c r="AH84" s="8"/>
      <c r="AI84" s="8"/>
      <c r="AJ84" s="8"/>
      <c r="AK84" s="8"/>
      <c r="AL84" s="8"/>
      <c r="AM84" s="8"/>
      <c r="AN84" s="8"/>
      <c r="AO84" s="8"/>
      <c r="AP84" s="8"/>
      <c r="AQ84" s="8"/>
      <c r="AR84" s="8"/>
      <c r="AS84" s="8"/>
      <c r="AT84" s="8"/>
      <c r="AU84" s="8"/>
      <c r="AV84" s="8"/>
      <c r="AW84" s="8"/>
      <c r="AX84" s="8"/>
      <c r="AY84" s="8"/>
      <c r="AZ84" s="8"/>
      <c r="BA84" s="8"/>
      <c r="BB84" s="8"/>
      <c r="BC84" s="8"/>
      <c r="BD84" s="8"/>
      <c r="BE84" s="8"/>
      <c r="BF84" s="8"/>
      <c r="BG84" s="8"/>
      <c r="BH84" s="8"/>
      <c r="BI84" s="8"/>
      <c r="BJ84" s="8"/>
      <c r="BK84" s="8"/>
      <c r="BL84" s="8"/>
      <c r="BM84" s="8"/>
      <c r="BN84" s="8"/>
      <c r="BO84" s="8"/>
      <c r="BP84" s="8"/>
      <c r="BQ84" s="8"/>
      <c r="BR84" s="8"/>
      <c r="BS84" s="8"/>
      <c r="BT84" s="8"/>
      <c r="BU84" s="8"/>
      <c r="BV84" s="8"/>
      <c r="BW84" s="8"/>
      <c r="BX84" s="8"/>
      <c r="BY84" s="8"/>
      <c r="BZ84" s="8"/>
      <c r="CA84" s="8"/>
      <c r="CB84" s="8"/>
      <c r="CC84" s="8"/>
      <c r="CD84" s="8"/>
      <c r="CE84" s="8"/>
      <c r="CF84" s="8"/>
      <c r="CG84" s="8"/>
      <c r="CH84" s="8"/>
      <c r="CI84" s="8"/>
      <c r="CJ84" s="8"/>
      <c r="CK84" s="8"/>
      <c r="CL84" s="8"/>
      <c r="CM84" s="8"/>
      <c r="CN84" s="8"/>
      <c r="CO84" s="8"/>
      <c r="CP84" s="8"/>
      <c r="CQ84" s="8"/>
      <c r="CR84" s="8"/>
    </row>
    <row r="85" spans="1:96" x14ac:dyDescent="0.25">
      <c r="A85" s="8"/>
      <c r="B85" s="8"/>
      <c r="C85" s="8"/>
      <c r="D85" s="8"/>
      <c r="E85" s="8"/>
      <c r="F85" s="8"/>
      <c r="G85" s="8"/>
      <c r="H85" s="8"/>
      <c r="I85" s="8"/>
      <c r="J85" s="8"/>
      <c r="K85" s="8"/>
      <c r="L85" s="8"/>
      <c r="M85" s="8"/>
      <c r="N85" s="8"/>
      <c r="O85" s="8"/>
      <c r="P85" s="8"/>
      <c r="Q85" s="8"/>
      <c r="R85" s="8"/>
      <c r="S85" s="8"/>
      <c r="T85" s="8"/>
      <c r="U85" s="8"/>
      <c r="V85" s="8"/>
      <c r="W85" s="8"/>
      <c r="X85" s="8"/>
      <c r="Y85" s="8"/>
      <c r="Z85" s="8"/>
      <c r="AA85" s="8"/>
      <c r="AB85" s="8"/>
      <c r="AC85" s="8"/>
      <c r="AD85" s="8"/>
      <c r="AE85" s="8"/>
      <c r="AF85" s="8"/>
      <c r="AG85" s="8"/>
      <c r="AH85" s="8"/>
      <c r="AI85" s="8"/>
      <c r="AJ85" s="8"/>
      <c r="AK85" s="8"/>
      <c r="AL85" s="8"/>
      <c r="AM85" s="8"/>
      <c r="AN85" s="8"/>
      <c r="AO85" s="8"/>
      <c r="AP85" s="8"/>
      <c r="AQ85" s="8"/>
      <c r="AR85" s="8"/>
      <c r="AS85" s="8"/>
      <c r="AT85" s="8"/>
      <c r="AU85" s="8"/>
      <c r="AV85" s="8"/>
      <c r="AW85" s="8"/>
      <c r="AX85" s="8"/>
      <c r="AY85" s="8"/>
      <c r="AZ85" s="8"/>
      <c r="BA85" s="8"/>
      <c r="BB85" s="8"/>
      <c r="BC85" s="8"/>
      <c r="BD85" s="8"/>
      <c r="BE85" s="8"/>
      <c r="BF85" s="8"/>
      <c r="BG85" s="8"/>
      <c r="BH85" s="8"/>
      <c r="BI85" s="8"/>
      <c r="BJ85" s="8"/>
      <c r="BK85" s="8"/>
      <c r="BL85" s="8"/>
      <c r="BM85" s="8"/>
      <c r="BN85" s="8"/>
      <c r="BO85" s="8"/>
      <c r="BP85" s="8"/>
      <c r="BQ85" s="8"/>
      <c r="BR85" s="8"/>
      <c r="BS85" s="8"/>
      <c r="BT85" s="8"/>
      <c r="BU85" s="8"/>
      <c r="BV85" s="8"/>
      <c r="BW85" s="8"/>
      <c r="BX85" s="8"/>
      <c r="BY85" s="8"/>
      <c r="BZ85" s="8"/>
      <c r="CA85" s="8"/>
      <c r="CB85" s="8"/>
      <c r="CC85" s="8"/>
      <c r="CD85" s="8"/>
      <c r="CE85" s="8"/>
      <c r="CF85" s="8"/>
      <c r="CG85" s="8"/>
      <c r="CH85" s="8"/>
      <c r="CI85" s="8"/>
      <c r="CJ85" s="8"/>
      <c r="CK85" s="8"/>
      <c r="CL85" s="8"/>
      <c r="CM85" s="8"/>
      <c r="CN85" s="8"/>
      <c r="CO85" s="8"/>
      <c r="CP85" s="8"/>
      <c r="CQ85" s="8"/>
      <c r="CR85" s="8"/>
    </row>
    <row r="86" spans="1:96" x14ac:dyDescent="0.25">
      <c r="A86" s="8"/>
      <c r="B86" s="8"/>
      <c r="C86" s="8"/>
      <c r="D86" s="8"/>
      <c r="E86" s="8"/>
      <c r="F86" s="8"/>
      <c r="G86" s="8"/>
      <c r="H86" s="8"/>
      <c r="I86" s="8"/>
      <c r="J86" s="8"/>
      <c r="K86" s="8"/>
      <c r="L86" s="8"/>
      <c r="M86" s="8"/>
      <c r="N86" s="8"/>
      <c r="O86" s="8"/>
      <c r="P86" s="8"/>
      <c r="Q86" s="8"/>
      <c r="R86" s="8"/>
      <c r="S86" s="8"/>
      <c r="T86" s="8"/>
      <c r="U86" s="8"/>
      <c r="V86" s="8"/>
      <c r="W86" s="8"/>
      <c r="X86" s="8"/>
      <c r="Y86" s="8"/>
      <c r="Z86" s="8"/>
      <c r="AA86" s="8"/>
      <c r="AB86" s="8"/>
      <c r="AC86" s="8"/>
      <c r="AD86" s="8"/>
      <c r="AE86" s="8"/>
      <c r="AF86" s="8"/>
      <c r="AG86" s="8"/>
      <c r="AH86" s="8"/>
      <c r="AI86" s="8"/>
      <c r="AJ86" s="8"/>
      <c r="AK86" s="8"/>
      <c r="AL86" s="8"/>
      <c r="AM86" s="8"/>
      <c r="AN86" s="8"/>
      <c r="AO86" s="8"/>
      <c r="AP86" s="8"/>
      <c r="AQ86" s="8"/>
      <c r="AR86" s="8"/>
      <c r="AS86" s="8"/>
      <c r="AT86" s="8"/>
      <c r="AU86" s="8"/>
      <c r="AV86" s="8"/>
      <c r="AW86" s="8"/>
      <c r="AX86" s="8"/>
      <c r="AY86" s="8"/>
      <c r="AZ86" s="8"/>
      <c r="BA86" s="8"/>
      <c r="BB86" s="8"/>
      <c r="BC86" s="8"/>
      <c r="BD86" s="8"/>
      <c r="BE86" s="8"/>
      <c r="BF86" s="8"/>
      <c r="BG86" s="8"/>
      <c r="BH86" s="8"/>
      <c r="BI86" s="8"/>
      <c r="BJ86" s="8"/>
      <c r="BK86" s="8"/>
      <c r="BL86" s="8"/>
      <c r="BM86" s="8"/>
      <c r="BN86" s="8"/>
      <c r="BO86" s="8"/>
      <c r="BP86" s="8"/>
      <c r="BQ86" s="8"/>
      <c r="BR86" s="8"/>
      <c r="BS86" s="8"/>
      <c r="BT86" s="8"/>
      <c r="BU86" s="8"/>
      <c r="BV86" s="8"/>
      <c r="BW86" s="8"/>
      <c r="BX86" s="8"/>
      <c r="BY86" s="8"/>
      <c r="BZ86" s="8"/>
      <c r="CA86" s="8"/>
      <c r="CB86" s="8"/>
      <c r="CC86" s="8"/>
      <c r="CD86" s="8"/>
      <c r="CE86" s="8"/>
      <c r="CF86" s="8"/>
      <c r="CG86" s="8"/>
      <c r="CH86" s="8"/>
      <c r="CI86" s="8"/>
      <c r="CJ86" s="8"/>
      <c r="CK86" s="8"/>
      <c r="CL86" s="8"/>
      <c r="CM86" s="8"/>
      <c r="CN86" s="8"/>
      <c r="CO86" s="8"/>
      <c r="CP86" s="8"/>
      <c r="CQ86" s="8"/>
      <c r="CR86" s="8"/>
    </row>
    <row r="87" spans="1:96" x14ac:dyDescent="0.25">
      <c r="A87" s="8"/>
      <c r="B87" s="8"/>
      <c r="C87" s="8"/>
      <c r="D87" s="8"/>
      <c r="E87" s="8"/>
      <c r="F87" s="8"/>
      <c r="G87" s="8"/>
      <c r="H87" s="8"/>
      <c r="I87" s="8"/>
      <c r="J87" s="8"/>
      <c r="K87" s="8"/>
      <c r="L87" s="8"/>
      <c r="M87" s="8"/>
      <c r="N87" s="8"/>
      <c r="O87" s="8"/>
      <c r="P87" s="8"/>
      <c r="Q87" s="8"/>
      <c r="R87" s="8"/>
      <c r="S87" s="8"/>
      <c r="T87" s="8"/>
      <c r="U87" s="8"/>
      <c r="V87" s="8"/>
      <c r="W87" s="8"/>
      <c r="X87" s="8"/>
      <c r="Y87" s="8"/>
      <c r="Z87" s="8"/>
      <c r="AA87" s="8"/>
      <c r="AB87" s="8"/>
      <c r="AC87" s="8"/>
      <c r="AD87" s="8"/>
      <c r="AE87" s="8"/>
      <c r="AF87" s="8"/>
      <c r="AG87" s="8"/>
      <c r="AH87" s="8"/>
      <c r="AI87" s="8"/>
      <c r="AJ87" s="8"/>
      <c r="AK87" s="8"/>
      <c r="AL87" s="8"/>
      <c r="AM87" s="8"/>
      <c r="AN87" s="8"/>
      <c r="AO87" s="8"/>
      <c r="AP87" s="8"/>
      <c r="AQ87" s="8"/>
      <c r="AR87" s="8"/>
      <c r="AS87" s="8"/>
      <c r="AT87" s="8"/>
      <c r="AU87" s="8"/>
      <c r="AV87" s="8"/>
      <c r="AW87" s="8"/>
      <c r="AX87" s="8"/>
      <c r="AY87" s="8"/>
      <c r="AZ87" s="8"/>
      <c r="BA87" s="8"/>
      <c r="BB87" s="8"/>
      <c r="BC87" s="8"/>
      <c r="BD87" s="8"/>
      <c r="BE87" s="8"/>
      <c r="BF87" s="8"/>
      <c r="BG87" s="8"/>
      <c r="BH87" s="8"/>
      <c r="BI87" s="8"/>
      <c r="BJ87" s="8"/>
      <c r="BK87" s="8"/>
      <c r="BL87" s="8"/>
      <c r="BM87" s="8"/>
      <c r="BN87" s="8"/>
      <c r="BO87" s="8"/>
      <c r="BP87" s="8"/>
      <c r="BQ87" s="8"/>
      <c r="BR87" s="8"/>
      <c r="BS87" s="8"/>
      <c r="BT87" s="8"/>
      <c r="BU87" s="8"/>
      <c r="BV87" s="8"/>
      <c r="BW87" s="8"/>
      <c r="BX87" s="8"/>
      <c r="BY87" s="8"/>
      <c r="BZ87" s="8"/>
      <c r="CA87" s="8"/>
      <c r="CB87" s="8"/>
      <c r="CC87" s="8"/>
      <c r="CD87" s="8"/>
      <c r="CE87" s="8"/>
      <c r="CF87" s="8"/>
      <c r="CG87" s="8"/>
      <c r="CH87" s="8"/>
      <c r="CI87" s="8"/>
      <c r="CJ87" s="8"/>
      <c r="CK87" s="8"/>
      <c r="CL87" s="8"/>
      <c r="CM87" s="8"/>
      <c r="CN87" s="8"/>
      <c r="CO87" s="8"/>
      <c r="CP87" s="8"/>
      <c r="CQ87" s="8"/>
      <c r="CR87" s="8"/>
    </row>
    <row r="88" spans="1:96" x14ac:dyDescent="0.25">
      <c r="A88" s="8"/>
      <c r="B88" s="8"/>
      <c r="C88" s="8"/>
      <c r="D88" s="8"/>
      <c r="E88" s="8"/>
      <c r="F88" s="8"/>
      <c r="G88" s="8"/>
      <c r="H88" s="8"/>
      <c r="I88" s="8"/>
      <c r="J88" s="8"/>
      <c r="K88" s="8"/>
      <c r="L88" s="8"/>
      <c r="M88" s="8"/>
      <c r="N88" s="8"/>
      <c r="O88" s="8"/>
      <c r="P88" s="8"/>
      <c r="Q88" s="8"/>
      <c r="R88" s="8"/>
      <c r="S88" s="8"/>
      <c r="T88" s="8"/>
      <c r="U88" s="8"/>
      <c r="V88" s="8"/>
      <c r="W88" s="8"/>
      <c r="X88" s="8"/>
      <c r="Y88" s="8"/>
      <c r="Z88" s="8"/>
      <c r="AA88" s="8"/>
      <c r="AB88" s="8"/>
      <c r="AC88" s="8"/>
      <c r="AD88" s="8"/>
      <c r="AE88" s="8"/>
      <c r="AF88" s="8"/>
      <c r="AG88" s="8"/>
      <c r="AH88" s="8"/>
      <c r="AI88" s="8"/>
      <c r="AJ88" s="8"/>
      <c r="AK88" s="8"/>
      <c r="AL88" s="8"/>
      <c r="AM88" s="8"/>
      <c r="AN88" s="8"/>
      <c r="AO88" s="8"/>
      <c r="AP88" s="8"/>
      <c r="AQ88" s="8"/>
      <c r="AR88" s="8"/>
      <c r="AS88" s="8"/>
      <c r="AT88" s="8"/>
      <c r="AU88" s="8"/>
      <c r="AV88" s="8"/>
      <c r="AW88" s="8"/>
      <c r="AX88" s="8"/>
      <c r="AY88" s="8"/>
      <c r="AZ88" s="8"/>
      <c r="BA88" s="8"/>
      <c r="BB88" s="8"/>
      <c r="BC88" s="8"/>
      <c r="BD88" s="8"/>
      <c r="BE88" s="8"/>
      <c r="BF88" s="8"/>
      <c r="BG88" s="8"/>
      <c r="BH88" s="8"/>
      <c r="BI88" s="8"/>
      <c r="BJ88" s="8"/>
      <c r="BK88" s="8"/>
      <c r="BL88" s="8"/>
      <c r="BM88" s="8"/>
      <c r="BN88" s="8"/>
      <c r="BO88" s="8"/>
      <c r="BP88" s="8"/>
      <c r="BQ88" s="8"/>
      <c r="BR88" s="8"/>
      <c r="BS88" s="8"/>
      <c r="BT88" s="8"/>
      <c r="BU88" s="8"/>
      <c r="BV88" s="8"/>
      <c r="BW88" s="8"/>
      <c r="BX88" s="8"/>
      <c r="BY88" s="8"/>
      <c r="BZ88" s="8"/>
      <c r="CA88" s="8"/>
      <c r="CB88" s="8"/>
      <c r="CC88" s="8"/>
      <c r="CD88" s="8"/>
      <c r="CE88" s="8"/>
      <c r="CF88" s="8"/>
      <c r="CG88" s="8"/>
      <c r="CH88" s="8"/>
      <c r="CI88" s="8"/>
      <c r="CJ88" s="8"/>
      <c r="CK88" s="8"/>
      <c r="CL88" s="8"/>
      <c r="CM88" s="8"/>
      <c r="CN88" s="8"/>
      <c r="CO88" s="8"/>
      <c r="CP88" s="8"/>
      <c r="CQ88" s="8"/>
      <c r="CR88" s="8"/>
    </row>
    <row r="89" spans="1:96" x14ac:dyDescent="0.25">
      <c r="A89" s="8"/>
      <c r="B89" s="8"/>
      <c r="C89" s="8"/>
      <c r="D89" s="8"/>
      <c r="E89" s="8"/>
      <c r="F89" s="8"/>
      <c r="G89" s="8"/>
      <c r="H89" s="8"/>
      <c r="I89" s="8"/>
      <c r="J89" s="8"/>
      <c r="K89" s="8"/>
      <c r="L89" s="8"/>
      <c r="M89" s="8"/>
      <c r="N89" s="8"/>
      <c r="O89" s="8"/>
      <c r="P89" s="8"/>
      <c r="Q89" s="8"/>
      <c r="R89" s="8"/>
      <c r="S89" s="8"/>
      <c r="T89" s="8"/>
      <c r="U89" s="8"/>
      <c r="V89" s="8"/>
      <c r="W89" s="8"/>
      <c r="X89" s="8"/>
      <c r="Y89" s="8"/>
      <c r="Z89" s="8"/>
      <c r="AA89" s="8"/>
      <c r="AB89" s="8"/>
      <c r="AC89" s="8"/>
      <c r="AD89" s="8"/>
      <c r="AE89" s="8"/>
      <c r="AF89" s="8"/>
      <c r="AG89" s="8"/>
      <c r="AH89" s="8"/>
      <c r="AI89" s="8"/>
      <c r="AJ89" s="8"/>
      <c r="AK89" s="8"/>
      <c r="AL89" s="8"/>
      <c r="AM89" s="8"/>
      <c r="AN89" s="8"/>
      <c r="AO89" s="8"/>
      <c r="AP89" s="8"/>
      <c r="AQ89" s="8"/>
      <c r="AR89" s="8"/>
      <c r="AS89" s="8"/>
      <c r="AT89" s="8"/>
      <c r="AU89" s="8"/>
      <c r="AV89" s="8"/>
      <c r="AW89" s="8"/>
      <c r="AX89" s="8"/>
      <c r="AY89" s="8"/>
      <c r="AZ89" s="8"/>
      <c r="BA89" s="8"/>
      <c r="BB89" s="8"/>
      <c r="BC89" s="8"/>
      <c r="BD89" s="8"/>
      <c r="BE89" s="8"/>
      <c r="BF89" s="8"/>
      <c r="BG89" s="8"/>
      <c r="BH89" s="8"/>
      <c r="BI89" s="8"/>
      <c r="BJ89" s="8"/>
      <c r="BK89" s="8"/>
      <c r="BL89" s="8"/>
      <c r="BM89" s="8"/>
      <c r="BN89" s="8"/>
      <c r="BO89" s="8"/>
      <c r="BP89" s="8"/>
      <c r="BQ89" s="8"/>
      <c r="BR89" s="8"/>
      <c r="BS89" s="8"/>
      <c r="BT89" s="8"/>
      <c r="BU89" s="8"/>
      <c r="BV89" s="8"/>
      <c r="BW89" s="8"/>
      <c r="BX89" s="8"/>
      <c r="BY89" s="8"/>
      <c r="BZ89" s="8"/>
      <c r="CA89" s="8"/>
      <c r="CB89" s="8"/>
      <c r="CC89" s="8"/>
      <c r="CD89" s="8"/>
      <c r="CE89" s="8"/>
      <c r="CF89" s="8"/>
      <c r="CG89" s="8"/>
      <c r="CH89" s="8"/>
      <c r="CI89" s="8"/>
      <c r="CJ89" s="8"/>
      <c r="CK89" s="8"/>
      <c r="CL89" s="8"/>
      <c r="CM89" s="8"/>
      <c r="CN89" s="8"/>
      <c r="CO89" s="8"/>
      <c r="CP89" s="8"/>
      <c r="CQ89" s="8"/>
      <c r="CR89" s="8"/>
    </row>
    <row r="90" spans="1:96" x14ac:dyDescent="0.25">
      <c r="A90" s="8"/>
      <c r="B90" s="8"/>
      <c r="C90" s="8"/>
      <c r="D90" s="8"/>
      <c r="E90" s="8"/>
      <c r="F90" s="8"/>
      <c r="G90" s="8"/>
      <c r="H90" s="8"/>
      <c r="I90" s="8"/>
      <c r="J90" s="8"/>
      <c r="K90" s="8"/>
      <c r="L90" s="8"/>
      <c r="M90" s="8"/>
      <c r="N90" s="8"/>
      <c r="O90" s="8"/>
      <c r="P90" s="8"/>
      <c r="Q90" s="8"/>
      <c r="R90" s="8"/>
      <c r="S90" s="8"/>
      <c r="T90" s="8"/>
      <c r="U90" s="8"/>
      <c r="V90" s="8"/>
      <c r="W90" s="8"/>
      <c r="X90" s="8"/>
      <c r="Y90" s="8"/>
      <c r="Z90" s="8"/>
      <c r="AA90" s="8"/>
      <c r="AB90" s="8"/>
      <c r="AC90" s="8"/>
      <c r="AD90" s="8"/>
      <c r="AE90" s="8"/>
      <c r="AF90" s="8"/>
      <c r="AG90" s="8"/>
      <c r="AH90" s="8"/>
      <c r="AI90" s="8"/>
      <c r="AJ90" s="8"/>
      <c r="AK90" s="8"/>
      <c r="AL90" s="8"/>
      <c r="AM90" s="8"/>
      <c r="AN90" s="8"/>
      <c r="AO90" s="8"/>
      <c r="AP90" s="8"/>
      <c r="AQ90" s="8"/>
      <c r="AR90" s="8"/>
      <c r="AS90" s="8"/>
      <c r="AT90" s="8"/>
      <c r="AU90" s="8"/>
      <c r="AV90" s="8"/>
      <c r="AW90" s="8"/>
      <c r="AX90" s="8"/>
      <c r="AY90" s="8"/>
      <c r="AZ90" s="8"/>
      <c r="BA90" s="8"/>
      <c r="BB90" s="8"/>
      <c r="BC90" s="8"/>
      <c r="BD90" s="8"/>
      <c r="BE90" s="8"/>
      <c r="BF90" s="8"/>
      <c r="BG90" s="8"/>
      <c r="BH90" s="8"/>
      <c r="BI90" s="8"/>
      <c r="BJ90" s="8"/>
      <c r="BK90" s="8"/>
      <c r="BL90" s="8"/>
      <c r="BM90" s="8"/>
      <c r="BN90" s="8"/>
      <c r="BO90" s="8"/>
      <c r="BP90" s="8"/>
      <c r="BQ90" s="8"/>
      <c r="BR90" s="8"/>
      <c r="BS90" s="8"/>
      <c r="BT90" s="8"/>
      <c r="BU90" s="8"/>
      <c r="BV90" s="8"/>
      <c r="BW90" s="8"/>
      <c r="BX90" s="8"/>
      <c r="BY90" s="8"/>
      <c r="BZ90" s="8"/>
      <c r="CA90" s="8"/>
      <c r="CB90" s="8"/>
      <c r="CC90" s="8"/>
      <c r="CD90" s="8"/>
      <c r="CE90" s="8"/>
      <c r="CF90" s="8"/>
      <c r="CG90" s="8"/>
      <c r="CH90" s="8"/>
      <c r="CI90" s="8"/>
      <c r="CJ90" s="8"/>
      <c r="CK90" s="8"/>
      <c r="CL90" s="8"/>
      <c r="CM90" s="8"/>
      <c r="CN90" s="8"/>
      <c r="CO90" s="8"/>
      <c r="CP90" s="8"/>
      <c r="CQ90" s="8"/>
      <c r="CR90" s="8"/>
    </row>
    <row r="91" spans="1:96" x14ac:dyDescent="0.25">
      <c r="A91" s="8"/>
      <c r="B91" s="8"/>
      <c r="C91" s="8"/>
      <c r="D91" s="8"/>
      <c r="E91" s="8"/>
      <c r="F91" s="8"/>
      <c r="G91" s="8"/>
      <c r="H91" s="8"/>
      <c r="I91" s="8"/>
      <c r="J91" s="8"/>
      <c r="K91" s="8"/>
      <c r="L91" s="8"/>
      <c r="M91" s="8"/>
      <c r="N91" s="8"/>
      <c r="O91" s="8"/>
      <c r="P91" s="8"/>
      <c r="Q91" s="8"/>
      <c r="R91" s="8"/>
      <c r="S91" s="8"/>
      <c r="T91" s="8"/>
      <c r="U91" s="8"/>
      <c r="V91" s="8"/>
      <c r="W91" s="8"/>
      <c r="X91" s="8"/>
      <c r="Y91" s="8"/>
      <c r="Z91" s="8"/>
      <c r="AA91" s="8"/>
      <c r="AB91" s="8"/>
      <c r="AC91" s="8"/>
      <c r="AD91" s="8"/>
      <c r="AE91" s="8"/>
      <c r="AF91" s="8"/>
      <c r="AG91" s="8"/>
      <c r="AH91" s="8"/>
      <c r="AI91" s="8"/>
      <c r="AJ91" s="8"/>
      <c r="AK91" s="8"/>
      <c r="AL91" s="8"/>
      <c r="AM91" s="8"/>
      <c r="AN91" s="8"/>
      <c r="AO91" s="8"/>
      <c r="AP91" s="8"/>
      <c r="AQ91" s="8"/>
      <c r="AR91" s="8"/>
      <c r="AS91" s="8"/>
      <c r="AT91" s="8"/>
      <c r="AU91" s="8"/>
      <c r="AV91" s="8"/>
      <c r="AW91" s="8"/>
      <c r="AX91" s="8"/>
      <c r="AY91" s="8"/>
      <c r="AZ91" s="8"/>
      <c r="BA91" s="8"/>
      <c r="BB91" s="8"/>
      <c r="BC91" s="8"/>
      <c r="BD91" s="8"/>
      <c r="BE91" s="8"/>
      <c r="BF91" s="8"/>
      <c r="BG91" s="8"/>
      <c r="BH91" s="8"/>
      <c r="BI91" s="8"/>
      <c r="BJ91" s="8"/>
      <c r="BK91" s="8"/>
      <c r="BL91" s="8"/>
      <c r="BM91" s="8"/>
      <c r="BN91" s="8"/>
      <c r="BO91" s="8"/>
      <c r="BP91" s="8"/>
      <c r="BQ91" s="8"/>
      <c r="BR91" s="8"/>
      <c r="BS91" s="8"/>
      <c r="BT91" s="8"/>
      <c r="BU91" s="8"/>
      <c r="BV91" s="8"/>
      <c r="BW91" s="8"/>
      <c r="BX91" s="8"/>
      <c r="BY91" s="8"/>
      <c r="BZ91" s="8"/>
      <c r="CA91" s="8"/>
      <c r="CB91" s="8"/>
      <c r="CC91" s="8"/>
      <c r="CD91" s="8"/>
      <c r="CE91" s="8"/>
      <c r="CF91" s="8"/>
      <c r="CG91" s="8"/>
      <c r="CH91" s="8"/>
      <c r="CI91" s="8"/>
      <c r="CJ91" s="8"/>
      <c r="CK91" s="8"/>
      <c r="CL91" s="8"/>
      <c r="CM91" s="8"/>
      <c r="CN91" s="8"/>
      <c r="CO91" s="8"/>
      <c r="CP91" s="8"/>
      <c r="CQ91" s="8"/>
      <c r="CR91" s="8"/>
    </row>
    <row r="92" spans="1:96" x14ac:dyDescent="0.25">
      <c r="A92" s="8"/>
      <c r="B92" s="8"/>
      <c r="C92" s="8"/>
      <c r="D92" s="8"/>
      <c r="E92" s="8"/>
      <c r="F92" s="8"/>
      <c r="G92" s="8"/>
      <c r="H92" s="8"/>
      <c r="I92" s="8"/>
      <c r="J92" s="8"/>
      <c r="K92" s="8"/>
      <c r="L92" s="8"/>
      <c r="M92" s="8"/>
      <c r="N92" s="8"/>
      <c r="O92" s="8"/>
      <c r="P92" s="8"/>
      <c r="Q92" s="8"/>
      <c r="R92" s="8"/>
      <c r="S92" s="8"/>
      <c r="T92" s="8"/>
      <c r="U92" s="8"/>
      <c r="V92" s="8"/>
      <c r="W92" s="8"/>
      <c r="X92" s="8"/>
      <c r="Y92" s="8"/>
      <c r="Z92" s="8"/>
      <c r="AA92" s="8"/>
      <c r="AB92" s="8"/>
      <c r="AC92" s="8"/>
      <c r="AD92" s="8"/>
      <c r="AE92" s="8"/>
      <c r="AF92" s="8"/>
      <c r="AG92" s="8"/>
      <c r="AH92" s="8"/>
      <c r="AI92" s="8"/>
      <c r="AJ92" s="8"/>
      <c r="AK92" s="8"/>
      <c r="AL92" s="8"/>
      <c r="AM92" s="8"/>
      <c r="AN92" s="8"/>
      <c r="AO92" s="8"/>
      <c r="AP92" s="8"/>
      <c r="AQ92" s="8"/>
      <c r="AR92" s="8"/>
      <c r="AS92" s="8"/>
      <c r="AT92" s="8"/>
      <c r="AU92" s="8"/>
      <c r="AV92" s="8"/>
      <c r="AW92" s="8"/>
      <c r="AX92" s="8"/>
      <c r="AY92" s="8"/>
      <c r="AZ92" s="8"/>
      <c r="BA92" s="8"/>
      <c r="BB92" s="8"/>
      <c r="BC92" s="8"/>
      <c r="BD92" s="8"/>
      <c r="BE92" s="8"/>
      <c r="BF92" s="8"/>
      <c r="BG92" s="8"/>
      <c r="BH92" s="8"/>
      <c r="BI92" s="8"/>
      <c r="BJ92" s="8"/>
      <c r="BK92" s="8"/>
      <c r="BL92" s="8"/>
      <c r="BM92" s="8"/>
      <c r="BN92" s="8"/>
      <c r="BO92" s="8"/>
      <c r="BP92" s="8"/>
      <c r="BQ92" s="8"/>
      <c r="BR92" s="8"/>
      <c r="BS92" s="8"/>
      <c r="BT92" s="8"/>
      <c r="BU92" s="8"/>
      <c r="BV92" s="8"/>
      <c r="BW92" s="8"/>
      <c r="BX92" s="8"/>
      <c r="BY92" s="8"/>
      <c r="BZ92" s="8"/>
      <c r="CA92" s="8"/>
      <c r="CB92" s="8"/>
      <c r="CC92" s="8"/>
      <c r="CD92" s="8"/>
      <c r="CE92" s="8"/>
      <c r="CF92" s="8"/>
      <c r="CG92" s="8"/>
      <c r="CH92" s="8"/>
      <c r="CI92" s="8"/>
      <c r="CJ92" s="8"/>
      <c r="CK92" s="8"/>
      <c r="CL92" s="8"/>
      <c r="CM92" s="8"/>
      <c r="CN92" s="8"/>
      <c r="CO92" s="8"/>
      <c r="CP92" s="8"/>
      <c r="CQ92" s="8"/>
      <c r="CR92" s="8"/>
    </row>
    <row r="93" spans="1:96" x14ac:dyDescent="0.25">
      <c r="A93" s="8"/>
      <c r="B93" s="8"/>
      <c r="C93" s="8"/>
      <c r="D93" s="8"/>
      <c r="E93" s="8"/>
      <c r="F93" s="8"/>
      <c r="G93" s="8"/>
      <c r="H93" s="8"/>
      <c r="I93" s="8"/>
      <c r="J93" s="8"/>
      <c r="K93" s="8"/>
      <c r="L93" s="8"/>
      <c r="M93" s="8"/>
      <c r="N93" s="8"/>
      <c r="O93" s="8"/>
      <c r="P93" s="8"/>
      <c r="Q93" s="8"/>
      <c r="R93" s="8"/>
      <c r="S93" s="8"/>
      <c r="T93" s="8"/>
      <c r="U93" s="8"/>
      <c r="V93" s="8"/>
      <c r="W93" s="8"/>
      <c r="X93" s="8"/>
      <c r="Y93" s="8"/>
      <c r="Z93" s="8"/>
      <c r="AA93" s="8"/>
      <c r="AB93" s="8"/>
      <c r="AC93" s="8"/>
      <c r="AD93" s="8"/>
      <c r="AE93" s="8"/>
      <c r="AF93" s="8"/>
      <c r="AG93" s="8"/>
      <c r="AH93" s="8"/>
      <c r="AI93" s="8"/>
      <c r="AJ93" s="8"/>
      <c r="AK93" s="8"/>
      <c r="AL93" s="8"/>
      <c r="AM93" s="8"/>
      <c r="AN93" s="8"/>
      <c r="AO93" s="8"/>
      <c r="AP93" s="8"/>
      <c r="AQ93" s="8"/>
      <c r="AR93" s="8"/>
      <c r="AS93" s="8"/>
      <c r="AT93" s="8"/>
      <c r="AU93" s="8"/>
      <c r="AV93" s="8"/>
      <c r="AW93" s="8"/>
      <c r="AX93" s="8"/>
      <c r="AY93" s="8"/>
      <c r="AZ93" s="8"/>
      <c r="BA93" s="8"/>
      <c r="BB93" s="8"/>
      <c r="BC93" s="8"/>
      <c r="BD93" s="8"/>
      <c r="BE93" s="8"/>
      <c r="BF93" s="8"/>
      <c r="BG93" s="8"/>
      <c r="BH93" s="8"/>
      <c r="BI93" s="8"/>
      <c r="BJ93" s="8"/>
      <c r="BK93" s="8"/>
      <c r="BL93" s="8"/>
      <c r="BM93" s="8"/>
      <c r="BN93" s="8"/>
      <c r="BO93" s="8"/>
      <c r="BP93" s="8"/>
      <c r="BQ93" s="8"/>
      <c r="BR93" s="8"/>
      <c r="BS93" s="8"/>
      <c r="BT93" s="8"/>
      <c r="BU93" s="8"/>
      <c r="BV93" s="8"/>
      <c r="BW93" s="8"/>
      <c r="BX93" s="8"/>
      <c r="BY93" s="8"/>
      <c r="BZ93" s="8"/>
      <c r="CA93" s="8"/>
      <c r="CB93" s="8"/>
      <c r="CC93" s="8"/>
      <c r="CD93" s="8"/>
      <c r="CE93" s="8"/>
      <c r="CF93" s="8"/>
      <c r="CG93" s="8"/>
      <c r="CH93" s="8"/>
      <c r="CI93" s="8"/>
      <c r="CJ93" s="8"/>
      <c r="CK93" s="8"/>
      <c r="CL93" s="8"/>
      <c r="CM93" s="8"/>
      <c r="CN93" s="8"/>
      <c r="CO93" s="8"/>
      <c r="CP93" s="8"/>
      <c r="CQ93" s="8"/>
      <c r="CR93" s="8"/>
    </row>
    <row r="94" spans="1:96" x14ac:dyDescent="0.25">
      <c r="A94" s="8"/>
      <c r="B94" s="8"/>
      <c r="C94" s="8"/>
      <c r="D94" s="8"/>
      <c r="E94" s="8"/>
      <c r="F94" s="8"/>
      <c r="G94" s="8"/>
      <c r="H94" s="8"/>
      <c r="I94" s="8"/>
      <c r="J94" s="8"/>
      <c r="K94" s="8"/>
      <c r="L94" s="8"/>
      <c r="M94" s="8"/>
      <c r="N94" s="8"/>
      <c r="O94" s="8"/>
      <c r="P94" s="8"/>
      <c r="Q94" s="8"/>
      <c r="R94" s="8"/>
      <c r="S94" s="8"/>
      <c r="T94" s="8"/>
      <c r="U94" s="8"/>
      <c r="V94" s="8"/>
      <c r="W94" s="8"/>
      <c r="X94" s="8"/>
      <c r="Y94" s="8"/>
      <c r="Z94" s="8"/>
      <c r="AA94" s="8"/>
      <c r="AB94" s="8"/>
      <c r="AC94" s="8"/>
      <c r="AD94" s="8"/>
      <c r="AE94" s="8"/>
      <c r="AF94" s="8"/>
      <c r="AG94" s="8"/>
      <c r="AH94" s="8"/>
      <c r="AI94" s="8"/>
      <c r="AJ94" s="8"/>
      <c r="AK94" s="8"/>
      <c r="AL94" s="8"/>
      <c r="AM94" s="8"/>
      <c r="AN94" s="8"/>
      <c r="AO94" s="8"/>
      <c r="AP94" s="8"/>
      <c r="AQ94" s="8"/>
      <c r="AR94" s="8"/>
      <c r="AS94" s="8"/>
      <c r="AT94" s="8"/>
      <c r="AU94" s="8"/>
      <c r="AV94" s="8"/>
      <c r="AW94" s="8"/>
      <c r="AX94" s="8"/>
      <c r="AY94" s="8"/>
      <c r="AZ94" s="8"/>
      <c r="BA94" s="8"/>
      <c r="BB94" s="8"/>
      <c r="BC94" s="8"/>
      <c r="BD94" s="8"/>
      <c r="BE94" s="8"/>
      <c r="BF94" s="8"/>
      <c r="BG94" s="8"/>
      <c r="BH94" s="8"/>
      <c r="BI94" s="8"/>
      <c r="BJ94" s="8"/>
      <c r="BK94" s="8"/>
      <c r="BL94" s="8"/>
      <c r="BM94" s="8"/>
      <c r="BN94" s="8"/>
      <c r="BO94" s="8"/>
      <c r="BP94" s="8"/>
      <c r="BQ94" s="8"/>
      <c r="BR94" s="8"/>
      <c r="BS94" s="8"/>
      <c r="BT94" s="8"/>
      <c r="BU94" s="8"/>
      <c r="BV94" s="8"/>
      <c r="BW94" s="8"/>
      <c r="BX94" s="8"/>
      <c r="BY94" s="8"/>
      <c r="BZ94" s="8"/>
      <c r="CA94" s="8"/>
      <c r="CB94" s="8"/>
      <c r="CC94" s="8"/>
      <c r="CD94" s="8"/>
      <c r="CE94" s="8"/>
      <c r="CF94" s="8"/>
      <c r="CG94" s="8"/>
      <c r="CH94" s="8"/>
      <c r="CI94" s="8"/>
      <c r="CJ94" s="8"/>
      <c r="CK94" s="8"/>
      <c r="CL94" s="8"/>
      <c r="CM94" s="8"/>
      <c r="CN94" s="8"/>
      <c r="CO94" s="8"/>
      <c r="CP94" s="8"/>
      <c r="CQ94" s="8"/>
      <c r="CR94" s="8"/>
    </row>
    <row r="95" spans="1:96" x14ac:dyDescent="0.25">
      <c r="A95" s="8"/>
      <c r="B95" s="8"/>
      <c r="C95" s="8"/>
      <c r="D95" s="8"/>
      <c r="E95" s="8"/>
      <c r="F95" s="8"/>
      <c r="G95" s="8"/>
      <c r="H95" s="8"/>
      <c r="I95" s="8"/>
      <c r="J95" s="8"/>
      <c r="K95" s="8"/>
      <c r="L95" s="8"/>
      <c r="M95" s="8"/>
      <c r="N95" s="8"/>
      <c r="O95" s="8"/>
      <c r="P95" s="8"/>
      <c r="Q95" s="8"/>
      <c r="R95" s="8"/>
      <c r="S95" s="8"/>
      <c r="T95" s="8"/>
      <c r="U95" s="8"/>
      <c r="V95" s="8"/>
      <c r="W95" s="8"/>
      <c r="X95" s="8"/>
      <c r="Y95" s="8"/>
      <c r="Z95" s="8"/>
      <c r="AA95" s="8"/>
      <c r="AB95" s="8"/>
      <c r="AC95" s="8"/>
      <c r="AD95" s="8"/>
      <c r="AE95" s="8"/>
      <c r="AF95" s="8"/>
      <c r="AG95" s="8"/>
      <c r="AH95" s="8"/>
      <c r="AI95" s="8"/>
      <c r="AJ95" s="8"/>
      <c r="AK95" s="8"/>
      <c r="AL95" s="8"/>
      <c r="AM95" s="8"/>
      <c r="AN95" s="8"/>
      <c r="AO95" s="8"/>
      <c r="AP95" s="8"/>
      <c r="AQ95" s="8"/>
      <c r="AR95" s="8"/>
      <c r="AS95" s="8"/>
      <c r="AT95" s="8"/>
      <c r="AU95" s="8"/>
      <c r="AV95" s="8"/>
      <c r="AW95" s="8"/>
      <c r="AX95" s="8"/>
      <c r="AY95" s="8"/>
      <c r="AZ95" s="8"/>
      <c r="BA95" s="8"/>
      <c r="BB95" s="8"/>
      <c r="BC95" s="8"/>
      <c r="BD95" s="8"/>
      <c r="BE95" s="8"/>
      <c r="BF95" s="8"/>
      <c r="BG95" s="8"/>
      <c r="BH95" s="8"/>
      <c r="BI95" s="8"/>
      <c r="BJ95" s="8"/>
      <c r="BK95" s="8"/>
      <c r="BL95" s="8"/>
      <c r="BM95" s="8"/>
      <c r="BN95" s="8"/>
      <c r="BO95" s="8"/>
      <c r="BP95" s="8"/>
      <c r="BQ95" s="8"/>
      <c r="BR95" s="8"/>
      <c r="BS95" s="8"/>
      <c r="BT95" s="8"/>
      <c r="BU95" s="8"/>
      <c r="BV95" s="8"/>
      <c r="BW95" s="8"/>
      <c r="BX95" s="8"/>
      <c r="BY95" s="8"/>
      <c r="BZ95" s="8"/>
      <c r="CA95" s="8"/>
      <c r="CB95" s="8"/>
      <c r="CC95" s="8"/>
      <c r="CD95" s="8"/>
      <c r="CE95" s="8"/>
      <c r="CF95" s="8"/>
      <c r="CG95" s="8"/>
      <c r="CH95" s="8"/>
      <c r="CI95" s="8"/>
      <c r="CJ95" s="8"/>
      <c r="CK95" s="8"/>
      <c r="CL95" s="8"/>
      <c r="CM95" s="8"/>
      <c r="CN95" s="8"/>
      <c r="CO95" s="8"/>
      <c r="CP95" s="8"/>
      <c r="CQ95" s="8"/>
      <c r="CR95" s="8"/>
    </row>
    <row r="96" spans="1:96" x14ac:dyDescent="0.25">
      <c r="A96" s="8"/>
      <c r="B96" s="8"/>
      <c r="C96" s="8"/>
      <c r="D96" s="8"/>
      <c r="E96" s="8"/>
      <c r="F96" s="8"/>
      <c r="G96" s="8"/>
      <c r="H96" s="8"/>
      <c r="I96" s="8"/>
      <c r="J96" s="8"/>
      <c r="K96" s="8"/>
      <c r="L96" s="8"/>
      <c r="M96" s="8"/>
      <c r="N96" s="8"/>
      <c r="O96" s="8"/>
      <c r="P96" s="8"/>
      <c r="Q96" s="8"/>
      <c r="R96" s="8"/>
      <c r="S96" s="8"/>
      <c r="T96" s="8"/>
      <c r="U96" s="8"/>
      <c r="V96" s="8"/>
      <c r="W96" s="8"/>
      <c r="X96" s="8"/>
      <c r="Y96" s="8"/>
      <c r="Z96" s="8"/>
      <c r="AA96" s="8"/>
      <c r="AB96" s="8"/>
      <c r="AC96" s="8"/>
      <c r="AD96" s="8"/>
      <c r="AE96" s="8"/>
      <c r="AF96" s="8"/>
      <c r="AG96" s="8"/>
      <c r="AH96" s="8"/>
      <c r="AI96" s="8"/>
      <c r="AJ96" s="8"/>
      <c r="AK96" s="8"/>
      <c r="AL96" s="8"/>
      <c r="AM96" s="8"/>
      <c r="AN96" s="8"/>
      <c r="AO96" s="8"/>
      <c r="AP96" s="8"/>
      <c r="AQ96" s="8"/>
      <c r="AR96" s="8"/>
      <c r="AS96" s="8"/>
      <c r="AT96" s="8"/>
      <c r="AU96" s="8"/>
      <c r="AV96" s="8"/>
      <c r="AW96" s="8"/>
      <c r="AX96" s="8"/>
      <c r="AY96" s="8"/>
      <c r="AZ96" s="8"/>
      <c r="BA96" s="8"/>
      <c r="BB96" s="8"/>
      <c r="BC96" s="8"/>
      <c r="BD96" s="8"/>
      <c r="BE96" s="8"/>
      <c r="BF96" s="8"/>
      <c r="BG96" s="8"/>
      <c r="BH96" s="8"/>
      <c r="BI96" s="8"/>
      <c r="BJ96" s="8"/>
      <c r="BK96" s="8"/>
      <c r="BL96" s="8"/>
      <c r="BM96" s="8"/>
      <c r="BN96" s="8"/>
      <c r="BO96" s="8"/>
      <c r="BP96" s="8"/>
      <c r="BQ96" s="8"/>
      <c r="BR96" s="8"/>
      <c r="BS96" s="8"/>
      <c r="BT96" s="8"/>
      <c r="BU96" s="8"/>
      <c r="BV96" s="8"/>
      <c r="BW96" s="8"/>
      <c r="BX96" s="8"/>
      <c r="BY96" s="8"/>
      <c r="BZ96" s="8"/>
      <c r="CA96" s="8"/>
      <c r="CB96" s="8"/>
      <c r="CC96" s="8"/>
      <c r="CD96" s="8"/>
      <c r="CE96" s="8"/>
      <c r="CF96" s="8"/>
      <c r="CG96" s="8"/>
      <c r="CH96" s="8"/>
      <c r="CI96" s="8"/>
      <c r="CJ96" s="8"/>
      <c r="CK96" s="8"/>
      <c r="CL96" s="8"/>
      <c r="CM96" s="8"/>
      <c r="CN96" s="8"/>
      <c r="CO96" s="8"/>
      <c r="CP96" s="8"/>
      <c r="CQ96" s="8"/>
      <c r="CR96" s="8"/>
    </row>
    <row r="97" spans="1:96" x14ac:dyDescent="0.25">
      <c r="A97" s="8"/>
      <c r="B97" s="8"/>
      <c r="C97" s="8"/>
      <c r="D97" s="8"/>
      <c r="E97" s="8"/>
      <c r="F97" s="8"/>
      <c r="G97" s="8"/>
      <c r="H97" s="8"/>
      <c r="I97" s="8"/>
      <c r="J97" s="8"/>
      <c r="K97" s="8"/>
      <c r="L97" s="8"/>
      <c r="M97" s="8"/>
      <c r="N97" s="8"/>
      <c r="O97" s="8"/>
      <c r="P97" s="8"/>
      <c r="Q97" s="8"/>
      <c r="R97" s="8"/>
      <c r="S97" s="8"/>
      <c r="T97" s="8"/>
      <c r="U97" s="8"/>
      <c r="V97" s="8"/>
      <c r="W97" s="8"/>
      <c r="X97" s="8"/>
      <c r="Y97" s="8"/>
      <c r="Z97" s="8"/>
      <c r="AA97" s="8"/>
      <c r="AB97" s="8"/>
      <c r="AC97" s="8"/>
      <c r="AD97" s="8"/>
      <c r="AE97" s="8"/>
      <c r="AF97" s="8"/>
      <c r="AG97" s="8"/>
      <c r="AH97" s="8"/>
      <c r="AI97" s="8"/>
      <c r="AJ97" s="8"/>
      <c r="AK97" s="8"/>
      <c r="AL97" s="8"/>
      <c r="AM97" s="8"/>
      <c r="AN97" s="8"/>
      <c r="AO97" s="8"/>
      <c r="AP97" s="8"/>
      <c r="AQ97" s="8"/>
      <c r="AR97" s="8"/>
      <c r="AS97" s="8"/>
      <c r="AT97" s="8"/>
      <c r="AU97" s="8"/>
      <c r="AV97" s="8"/>
      <c r="AW97" s="8"/>
      <c r="AX97" s="8"/>
      <c r="AY97" s="8"/>
      <c r="AZ97" s="8"/>
      <c r="BA97" s="8"/>
      <c r="BB97" s="8"/>
      <c r="BC97" s="8"/>
      <c r="BD97" s="8"/>
      <c r="BE97" s="8"/>
      <c r="BF97" s="8"/>
      <c r="BG97" s="8"/>
      <c r="BH97" s="8"/>
      <c r="BI97" s="8"/>
      <c r="BJ97" s="8"/>
      <c r="BK97" s="8"/>
      <c r="BL97" s="8"/>
      <c r="BM97" s="8"/>
      <c r="BN97" s="8"/>
      <c r="BO97" s="8"/>
      <c r="BP97" s="8"/>
      <c r="BQ97" s="8"/>
      <c r="BR97" s="8"/>
      <c r="BS97" s="8"/>
      <c r="BT97" s="8"/>
      <c r="BU97" s="8"/>
      <c r="BV97" s="8"/>
      <c r="BW97" s="8"/>
      <c r="BX97" s="8"/>
      <c r="BY97" s="8"/>
      <c r="BZ97" s="8"/>
      <c r="CA97" s="8"/>
      <c r="CB97" s="8"/>
      <c r="CC97" s="8"/>
      <c r="CD97" s="8"/>
      <c r="CE97" s="8"/>
      <c r="CF97" s="8"/>
      <c r="CG97" s="8"/>
      <c r="CH97" s="8"/>
      <c r="CI97" s="8"/>
      <c r="CJ97" s="8"/>
      <c r="CK97" s="8"/>
      <c r="CL97" s="8"/>
      <c r="CM97" s="8"/>
      <c r="CN97" s="8"/>
      <c r="CO97" s="8"/>
      <c r="CP97" s="8"/>
      <c r="CQ97" s="8"/>
      <c r="CR97" s="8"/>
    </row>
    <row r="98" spans="1:96" x14ac:dyDescent="0.25">
      <c r="A98" s="8"/>
      <c r="B98" s="8"/>
      <c r="C98" s="8"/>
      <c r="D98" s="8"/>
      <c r="E98" s="8"/>
      <c r="F98" s="8"/>
      <c r="G98" s="8"/>
      <c r="H98" s="8"/>
      <c r="I98" s="8"/>
      <c r="J98" s="8"/>
      <c r="K98" s="8"/>
      <c r="L98" s="8"/>
      <c r="M98" s="8"/>
      <c r="N98" s="8"/>
      <c r="O98" s="8"/>
      <c r="P98" s="8"/>
      <c r="Q98" s="8"/>
      <c r="R98" s="8"/>
      <c r="S98" s="8"/>
      <c r="T98" s="8"/>
      <c r="U98" s="8"/>
      <c r="V98" s="8"/>
      <c r="W98" s="8"/>
      <c r="X98" s="8"/>
      <c r="Y98" s="8"/>
      <c r="Z98" s="8"/>
      <c r="AA98" s="8"/>
      <c r="AB98" s="8"/>
      <c r="AC98" s="8"/>
      <c r="AD98" s="8"/>
      <c r="AE98" s="8"/>
      <c r="AF98" s="8"/>
      <c r="AG98" s="8"/>
      <c r="AH98" s="8"/>
      <c r="AI98" s="8"/>
      <c r="AJ98" s="8"/>
      <c r="AK98" s="8"/>
      <c r="AL98" s="8"/>
      <c r="AM98" s="8"/>
      <c r="AN98" s="8"/>
      <c r="AO98" s="8"/>
      <c r="AP98" s="8"/>
      <c r="AQ98" s="8"/>
      <c r="AR98" s="8"/>
      <c r="AS98" s="8"/>
      <c r="AT98" s="8"/>
      <c r="AU98" s="8"/>
      <c r="AV98" s="8"/>
      <c r="AW98" s="8"/>
      <c r="AX98" s="8"/>
      <c r="AY98" s="8"/>
      <c r="AZ98" s="8"/>
      <c r="BA98" s="8"/>
      <c r="BB98" s="8"/>
      <c r="BC98" s="8"/>
      <c r="BD98" s="8"/>
      <c r="BE98" s="8"/>
      <c r="BF98" s="8"/>
      <c r="BG98" s="8"/>
      <c r="BH98" s="8"/>
      <c r="BI98" s="8"/>
      <c r="BJ98" s="8"/>
      <c r="BK98" s="8"/>
      <c r="BL98" s="8"/>
      <c r="BM98" s="8"/>
      <c r="BN98" s="8"/>
      <c r="BO98" s="8"/>
      <c r="BP98" s="8"/>
      <c r="BQ98" s="8"/>
      <c r="BR98" s="8"/>
      <c r="BS98" s="8"/>
      <c r="BT98" s="8"/>
      <c r="BU98" s="8"/>
      <c r="BV98" s="8"/>
      <c r="BW98" s="8"/>
      <c r="BX98" s="8"/>
      <c r="BY98" s="8"/>
      <c r="BZ98" s="8"/>
      <c r="CA98" s="8"/>
      <c r="CB98" s="8"/>
      <c r="CC98" s="8"/>
      <c r="CD98" s="8"/>
      <c r="CE98" s="8"/>
      <c r="CF98" s="8"/>
      <c r="CG98" s="8"/>
      <c r="CH98" s="8"/>
      <c r="CI98" s="8"/>
      <c r="CJ98" s="8"/>
      <c r="CK98" s="8"/>
      <c r="CL98" s="8"/>
      <c r="CM98" s="8"/>
      <c r="CN98" s="8"/>
      <c r="CO98" s="8"/>
      <c r="CP98" s="8"/>
      <c r="CQ98" s="8"/>
      <c r="CR98" s="8"/>
    </row>
    <row r="99" spans="1:96" x14ac:dyDescent="0.25">
      <c r="A99" s="8"/>
      <c r="B99" s="8"/>
      <c r="C99" s="8"/>
      <c r="D99" s="8"/>
      <c r="E99" s="8"/>
      <c r="F99" s="8"/>
      <c r="G99" s="8"/>
      <c r="H99" s="8"/>
      <c r="I99" s="8"/>
      <c r="J99" s="8"/>
      <c r="K99" s="8"/>
      <c r="L99" s="8"/>
      <c r="M99" s="8"/>
      <c r="N99" s="8"/>
      <c r="O99" s="8"/>
      <c r="P99" s="8"/>
      <c r="Q99" s="8"/>
      <c r="R99" s="8"/>
      <c r="S99" s="8"/>
      <c r="T99" s="8"/>
      <c r="U99" s="8"/>
      <c r="V99" s="8"/>
      <c r="W99" s="8"/>
      <c r="X99" s="8"/>
      <c r="Y99" s="8"/>
      <c r="Z99" s="8"/>
      <c r="AA99" s="8"/>
      <c r="AB99" s="8"/>
      <c r="AC99" s="8"/>
      <c r="AD99" s="8"/>
      <c r="AE99" s="8"/>
      <c r="AF99" s="8"/>
      <c r="AG99" s="8"/>
      <c r="AH99" s="8"/>
      <c r="AI99" s="8"/>
      <c r="AJ99" s="8"/>
      <c r="AK99" s="8"/>
      <c r="AL99" s="8"/>
      <c r="AM99" s="8"/>
      <c r="AN99" s="8"/>
      <c r="AO99" s="8"/>
      <c r="AP99" s="8"/>
      <c r="AQ99" s="8"/>
      <c r="AR99" s="8"/>
      <c r="AS99" s="8"/>
      <c r="AT99" s="8"/>
      <c r="AU99" s="8"/>
      <c r="AV99" s="8"/>
      <c r="AW99" s="8"/>
      <c r="AX99" s="8"/>
      <c r="AY99" s="8"/>
      <c r="AZ99" s="8"/>
      <c r="BA99" s="8"/>
      <c r="BB99" s="8"/>
      <c r="BC99" s="8"/>
      <c r="BD99" s="8"/>
      <c r="BE99" s="8"/>
      <c r="BF99" s="8"/>
      <c r="BG99" s="8"/>
      <c r="BH99" s="8"/>
      <c r="BI99" s="8"/>
      <c r="BJ99" s="8"/>
      <c r="BK99" s="8"/>
      <c r="BL99" s="8"/>
      <c r="BM99" s="8"/>
      <c r="BN99" s="8"/>
      <c r="BO99" s="8"/>
      <c r="BP99" s="8"/>
      <c r="BQ99" s="8"/>
      <c r="BR99" s="8"/>
      <c r="BS99" s="8"/>
      <c r="BT99" s="8"/>
      <c r="BU99" s="8"/>
      <c r="BV99" s="8"/>
      <c r="BW99" s="8"/>
      <c r="BX99" s="8"/>
      <c r="BY99" s="8"/>
      <c r="BZ99" s="8"/>
      <c r="CA99" s="8"/>
      <c r="CB99" s="8"/>
      <c r="CC99" s="8"/>
      <c r="CD99" s="8"/>
      <c r="CE99" s="8"/>
      <c r="CF99" s="8"/>
      <c r="CG99" s="8"/>
      <c r="CH99" s="8"/>
      <c r="CI99" s="8"/>
      <c r="CJ99" s="8"/>
      <c r="CK99" s="8"/>
      <c r="CL99" s="8"/>
      <c r="CM99" s="8"/>
      <c r="CN99" s="8"/>
      <c r="CO99" s="8"/>
      <c r="CP99" s="8"/>
      <c r="CQ99" s="8"/>
      <c r="CR99" s="8"/>
    </row>
    <row r="100" spans="1:96" x14ac:dyDescent="0.25">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c r="AB100" s="8"/>
      <c r="AC100" s="8"/>
      <c r="AD100" s="8"/>
      <c r="AE100" s="8"/>
      <c r="AF100" s="8"/>
      <c r="AG100" s="8"/>
      <c r="AH100" s="8"/>
      <c r="AI100" s="8"/>
      <c r="AJ100" s="8"/>
      <c r="AK100" s="8"/>
      <c r="AL100" s="8"/>
      <c r="AM100" s="8"/>
      <c r="AN100" s="8"/>
      <c r="AO100" s="8"/>
      <c r="AP100" s="8"/>
      <c r="AQ100" s="8"/>
      <c r="AR100" s="8"/>
      <c r="AS100" s="8"/>
      <c r="AT100" s="8"/>
      <c r="AU100" s="8"/>
      <c r="AV100" s="8"/>
      <c r="AW100" s="8"/>
      <c r="AX100" s="8"/>
      <c r="AY100" s="8"/>
      <c r="AZ100" s="8"/>
      <c r="BA100" s="8"/>
      <c r="BB100" s="8"/>
      <c r="BC100" s="8"/>
      <c r="BD100" s="8"/>
      <c r="BE100" s="8"/>
      <c r="BF100" s="8"/>
      <c r="BG100" s="8"/>
      <c r="BH100" s="8"/>
      <c r="BI100" s="8"/>
      <c r="BJ100" s="8"/>
      <c r="BK100" s="8"/>
      <c r="BL100" s="8"/>
      <c r="BM100" s="8"/>
      <c r="BN100" s="8"/>
      <c r="BO100" s="8"/>
      <c r="BP100" s="8"/>
      <c r="BQ100" s="8"/>
      <c r="BR100" s="8"/>
      <c r="BS100" s="8"/>
      <c r="BT100" s="8"/>
      <c r="BU100" s="8"/>
      <c r="BV100" s="8"/>
      <c r="BW100" s="8"/>
      <c r="BX100" s="8"/>
      <c r="BY100" s="8"/>
      <c r="BZ100" s="8"/>
      <c r="CA100" s="8"/>
      <c r="CB100" s="8"/>
      <c r="CC100" s="8"/>
      <c r="CD100" s="8"/>
      <c r="CE100" s="8"/>
      <c r="CF100" s="8"/>
      <c r="CG100" s="8"/>
      <c r="CH100" s="8"/>
      <c r="CI100" s="8"/>
      <c r="CJ100" s="8"/>
      <c r="CK100" s="8"/>
      <c r="CL100" s="8"/>
      <c r="CM100" s="8"/>
      <c r="CN100" s="8"/>
      <c r="CO100" s="8"/>
      <c r="CP100" s="8"/>
      <c r="CQ100" s="8"/>
      <c r="CR100" s="8"/>
    </row>
    <row r="101" spans="1:96" x14ac:dyDescent="0.25">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c r="AB101" s="8"/>
      <c r="AC101" s="8"/>
      <c r="AD101" s="8"/>
      <c r="AE101" s="8"/>
      <c r="AF101" s="8"/>
      <c r="AG101" s="8"/>
      <c r="AH101" s="8"/>
      <c r="AI101" s="8"/>
      <c r="AJ101" s="8"/>
      <c r="AK101" s="8"/>
      <c r="AL101" s="8"/>
      <c r="AM101" s="8"/>
      <c r="AN101" s="8"/>
      <c r="AO101" s="8"/>
      <c r="AP101" s="8"/>
      <c r="AQ101" s="8"/>
      <c r="AR101" s="8"/>
      <c r="AS101" s="8"/>
      <c r="AT101" s="8"/>
      <c r="AU101" s="8"/>
      <c r="AV101" s="8"/>
      <c r="AW101" s="8"/>
      <c r="AX101" s="8"/>
      <c r="AY101" s="8"/>
      <c r="AZ101" s="8"/>
      <c r="BA101" s="8"/>
      <c r="BB101" s="8"/>
      <c r="BC101" s="8"/>
      <c r="BD101" s="8"/>
      <c r="BE101" s="8"/>
      <c r="BF101" s="8"/>
      <c r="BG101" s="8"/>
      <c r="BH101" s="8"/>
      <c r="BI101" s="8"/>
      <c r="BJ101" s="8"/>
      <c r="BK101" s="8"/>
      <c r="BL101" s="8"/>
      <c r="BM101" s="8"/>
      <c r="BN101" s="8"/>
      <c r="BO101" s="8"/>
      <c r="BP101" s="8"/>
      <c r="BQ101" s="8"/>
      <c r="BR101" s="8"/>
      <c r="BS101" s="8"/>
      <c r="BT101" s="8"/>
      <c r="BU101" s="8"/>
      <c r="BV101" s="8"/>
      <c r="BW101" s="8"/>
      <c r="BX101" s="8"/>
      <c r="BY101" s="8"/>
      <c r="BZ101" s="8"/>
      <c r="CA101" s="8"/>
      <c r="CB101" s="8"/>
      <c r="CC101" s="8"/>
      <c r="CD101" s="8"/>
      <c r="CE101" s="8"/>
      <c r="CF101" s="8"/>
      <c r="CG101" s="8"/>
      <c r="CH101" s="8"/>
      <c r="CI101" s="8"/>
      <c r="CJ101" s="8"/>
      <c r="CK101" s="8"/>
      <c r="CL101" s="8"/>
      <c r="CM101" s="8"/>
      <c r="CN101" s="8"/>
      <c r="CO101" s="8"/>
      <c r="CP101" s="8"/>
      <c r="CQ101" s="8"/>
      <c r="CR101" s="8"/>
    </row>
    <row r="102" spans="1:96" x14ac:dyDescent="0.25">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c r="AB102" s="8"/>
      <c r="AC102" s="8"/>
      <c r="AD102" s="8"/>
      <c r="AE102" s="8"/>
      <c r="AF102" s="8"/>
      <c r="AG102" s="8"/>
      <c r="AH102" s="8"/>
      <c r="AI102" s="8"/>
      <c r="AJ102" s="8"/>
      <c r="AK102" s="8"/>
      <c r="AL102" s="8"/>
      <c r="AM102" s="8"/>
      <c r="AN102" s="8"/>
      <c r="AO102" s="8"/>
      <c r="AP102" s="8"/>
      <c r="AQ102" s="8"/>
      <c r="AR102" s="8"/>
      <c r="AS102" s="8"/>
      <c r="AT102" s="8"/>
      <c r="AU102" s="8"/>
      <c r="AV102" s="8"/>
      <c r="AW102" s="8"/>
      <c r="AX102" s="8"/>
      <c r="AY102" s="8"/>
      <c r="AZ102" s="8"/>
      <c r="BA102" s="8"/>
      <c r="BB102" s="8"/>
      <c r="BC102" s="8"/>
      <c r="BD102" s="8"/>
      <c r="BE102" s="8"/>
      <c r="BF102" s="8"/>
      <c r="BG102" s="8"/>
      <c r="BH102" s="8"/>
      <c r="BI102" s="8"/>
      <c r="BJ102" s="8"/>
      <c r="BK102" s="8"/>
      <c r="BL102" s="8"/>
      <c r="BM102" s="8"/>
      <c r="BN102" s="8"/>
      <c r="BO102" s="8"/>
      <c r="BP102" s="8"/>
      <c r="BQ102" s="8"/>
      <c r="BR102" s="8"/>
      <c r="BS102" s="8"/>
      <c r="BT102" s="8"/>
      <c r="BU102" s="8"/>
      <c r="BV102" s="8"/>
      <c r="BW102" s="8"/>
      <c r="BX102" s="8"/>
      <c r="BY102" s="8"/>
      <c r="BZ102" s="8"/>
      <c r="CA102" s="8"/>
      <c r="CB102" s="8"/>
      <c r="CC102" s="8"/>
      <c r="CD102" s="8"/>
      <c r="CE102" s="8"/>
      <c r="CF102" s="8"/>
      <c r="CG102" s="8"/>
      <c r="CH102" s="8"/>
      <c r="CI102" s="8"/>
      <c r="CJ102" s="8"/>
      <c r="CK102" s="8"/>
      <c r="CL102" s="8"/>
      <c r="CM102" s="8"/>
      <c r="CN102" s="8"/>
      <c r="CO102" s="8"/>
      <c r="CP102" s="8"/>
      <c r="CQ102" s="8"/>
      <c r="CR102" s="8"/>
    </row>
    <row r="103" spans="1:96" x14ac:dyDescent="0.25">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8"/>
      <c r="AC103" s="8"/>
      <c r="AD103" s="8"/>
      <c r="AE103" s="8"/>
      <c r="AF103" s="8"/>
      <c r="AG103" s="8"/>
      <c r="AH103" s="8"/>
      <c r="AI103" s="8"/>
      <c r="AJ103" s="8"/>
      <c r="AK103" s="8"/>
      <c r="AL103" s="8"/>
      <c r="AM103" s="8"/>
      <c r="AN103" s="8"/>
      <c r="AO103" s="8"/>
      <c r="AP103" s="8"/>
      <c r="AQ103" s="8"/>
      <c r="AR103" s="8"/>
      <c r="AS103" s="8"/>
      <c r="AT103" s="8"/>
      <c r="AU103" s="8"/>
      <c r="AV103" s="8"/>
      <c r="AW103" s="8"/>
      <c r="AX103" s="8"/>
      <c r="AY103" s="8"/>
      <c r="AZ103" s="8"/>
      <c r="BA103" s="8"/>
      <c r="BB103" s="8"/>
      <c r="BC103" s="8"/>
      <c r="BD103" s="8"/>
      <c r="BE103" s="8"/>
      <c r="BF103" s="8"/>
      <c r="BG103" s="8"/>
      <c r="BH103" s="8"/>
      <c r="BI103" s="8"/>
      <c r="BJ103" s="8"/>
      <c r="BK103" s="8"/>
      <c r="BL103" s="8"/>
      <c r="BM103" s="8"/>
      <c r="BN103" s="8"/>
      <c r="BO103" s="8"/>
      <c r="BP103" s="8"/>
      <c r="BQ103" s="8"/>
      <c r="BR103" s="8"/>
      <c r="BS103" s="8"/>
      <c r="BT103" s="8"/>
      <c r="BU103" s="8"/>
      <c r="BV103" s="8"/>
      <c r="BW103" s="8"/>
      <c r="BX103" s="8"/>
      <c r="BY103" s="8"/>
      <c r="BZ103" s="8"/>
      <c r="CA103" s="8"/>
      <c r="CB103" s="8"/>
      <c r="CC103" s="8"/>
      <c r="CD103" s="8"/>
      <c r="CE103" s="8"/>
      <c r="CF103" s="8"/>
      <c r="CG103" s="8"/>
      <c r="CH103" s="8"/>
      <c r="CI103" s="8"/>
      <c r="CJ103" s="8"/>
      <c r="CK103" s="8"/>
      <c r="CL103" s="8"/>
      <c r="CM103" s="8"/>
      <c r="CN103" s="8"/>
      <c r="CO103" s="8"/>
      <c r="CP103" s="8"/>
      <c r="CQ103" s="8"/>
      <c r="CR103" s="8"/>
    </row>
    <row r="104" spans="1:96" x14ac:dyDescent="0.25">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c r="AB104" s="8"/>
      <c r="AC104" s="8"/>
      <c r="AD104" s="8"/>
      <c r="AE104" s="8"/>
      <c r="AF104" s="8"/>
      <c r="AG104" s="8"/>
      <c r="AH104" s="8"/>
      <c r="AI104" s="8"/>
      <c r="AJ104" s="8"/>
      <c r="AK104" s="8"/>
      <c r="AL104" s="8"/>
      <c r="AM104" s="8"/>
      <c r="AN104" s="8"/>
      <c r="AO104" s="8"/>
      <c r="AP104" s="8"/>
      <c r="AQ104" s="8"/>
      <c r="AR104" s="8"/>
      <c r="AS104" s="8"/>
      <c r="AT104" s="8"/>
      <c r="AU104" s="8"/>
      <c r="AV104" s="8"/>
      <c r="AW104" s="8"/>
      <c r="AX104" s="8"/>
      <c r="AY104" s="8"/>
      <c r="AZ104" s="8"/>
      <c r="BA104" s="8"/>
      <c r="BB104" s="8"/>
      <c r="BC104" s="8"/>
      <c r="BD104" s="8"/>
      <c r="BE104" s="8"/>
      <c r="BF104" s="8"/>
      <c r="BG104" s="8"/>
      <c r="BH104" s="8"/>
      <c r="BI104" s="8"/>
      <c r="BJ104" s="8"/>
      <c r="BK104" s="8"/>
      <c r="BL104" s="8"/>
      <c r="BM104" s="8"/>
      <c r="BN104" s="8"/>
      <c r="BO104" s="8"/>
      <c r="BP104" s="8"/>
      <c r="BQ104" s="8"/>
      <c r="BR104" s="8"/>
      <c r="BS104" s="8"/>
      <c r="BT104" s="8"/>
      <c r="BU104" s="8"/>
      <c r="BV104" s="8"/>
      <c r="BW104" s="8"/>
      <c r="BX104" s="8"/>
      <c r="BY104" s="8"/>
      <c r="BZ104" s="8"/>
      <c r="CA104" s="8"/>
      <c r="CB104" s="8"/>
      <c r="CC104" s="8"/>
      <c r="CD104" s="8"/>
      <c r="CE104" s="8"/>
      <c r="CF104" s="8"/>
      <c r="CG104" s="8"/>
      <c r="CH104" s="8"/>
      <c r="CI104" s="8"/>
      <c r="CJ104" s="8"/>
      <c r="CK104" s="8"/>
      <c r="CL104" s="8"/>
      <c r="CM104" s="8"/>
      <c r="CN104" s="8"/>
      <c r="CO104" s="8"/>
      <c r="CP104" s="8"/>
      <c r="CQ104" s="8"/>
      <c r="CR104" s="8"/>
    </row>
    <row r="105" spans="1:96" x14ac:dyDescent="0.2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c r="AB105" s="8"/>
      <c r="AC105" s="8"/>
      <c r="AD105" s="8"/>
      <c r="AE105" s="8"/>
      <c r="AF105" s="8"/>
      <c r="AG105" s="8"/>
      <c r="AH105" s="8"/>
      <c r="AI105" s="8"/>
      <c r="AJ105" s="8"/>
      <c r="AK105" s="8"/>
      <c r="AL105" s="8"/>
      <c r="AM105" s="8"/>
      <c r="AN105" s="8"/>
      <c r="AO105" s="8"/>
      <c r="AP105" s="8"/>
      <c r="AQ105" s="8"/>
      <c r="AR105" s="8"/>
      <c r="AS105" s="8"/>
      <c r="AT105" s="8"/>
      <c r="AU105" s="8"/>
      <c r="AV105" s="8"/>
      <c r="AW105" s="8"/>
      <c r="AX105" s="8"/>
      <c r="AY105" s="8"/>
      <c r="AZ105" s="8"/>
      <c r="BA105" s="8"/>
      <c r="BB105" s="8"/>
      <c r="BC105" s="8"/>
      <c r="BD105" s="8"/>
      <c r="BE105" s="8"/>
      <c r="BF105" s="8"/>
      <c r="BG105" s="8"/>
      <c r="BH105" s="8"/>
      <c r="BI105" s="8"/>
      <c r="BJ105" s="8"/>
      <c r="BK105" s="8"/>
      <c r="BL105" s="8"/>
      <c r="BM105" s="8"/>
      <c r="BN105" s="8"/>
      <c r="BO105" s="8"/>
      <c r="BP105" s="8"/>
      <c r="BQ105" s="8"/>
      <c r="BR105" s="8"/>
      <c r="BS105" s="8"/>
      <c r="BT105" s="8"/>
      <c r="BU105" s="8"/>
      <c r="BV105" s="8"/>
      <c r="BW105" s="8"/>
      <c r="BX105" s="8"/>
      <c r="BY105" s="8"/>
      <c r="BZ105" s="8"/>
      <c r="CA105" s="8"/>
      <c r="CB105" s="8"/>
      <c r="CC105" s="8"/>
      <c r="CD105" s="8"/>
      <c r="CE105" s="8"/>
      <c r="CF105" s="8"/>
      <c r="CG105" s="8"/>
      <c r="CH105" s="8"/>
      <c r="CI105" s="8"/>
      <c r="CJ105" s="8"/>
      <c r="CK105" s="8"/>
      <c r="CL105" s="8"/>
      <c r="CM105" s="8"/>
      <c r="CN105" s="8"/>
      <c r="CO105" s="8"/>
      <c r="CP105" s="8"/>
      <c r="CQ105" s="8"/>
      <c r="CR105" s="8"/>
    </row>
    <row r="106" spans="1:96" x14ac:dyDescent="0.25">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c r="AB106" s="8"/>
      <c r="AC106" s="8"/>
      <c r="AD106" s="8"/>
      <c r="AE106" s="8"/>
      <c r="AF106" s="8"/>
      <c r="AG106" s="8"/>
      <c r="AH106" s="8"/>
      <c r="AI106" s="8"/>
      <c r="AJ106" s="8"/>
      <c r="AK106" s="8"/>
      <c r="AL106" s="8"/>
      <c r="AM106" s="8"/>
      <c r="AN106" s="8"/>
      <c r="AO106" s="8"/>
      <c r="AP106" s="8"/>
      <c r="AQ106" s="8"/>
      <c r="AR106" s="8"/>
      <c r="AS106" s="8"/>
      <c r="AT106" s="8"/>
      <c r="AU106" s="8"/>
      <c r="AV106" s="8"/>
      <c r="AW106" s="8"/>
      <c r="AX106" s="8"/>
      <c r="AY106" s="8"/>
      <c r="AZ106" s="8"/>
      <c r="BA106" s="8"/>
      <c r="BB106" s="8"/>
      <c r="BC106" s="8"/>
      <c r="BD106" s="8"/>
      <c r="BE106" s="8"/>
      <c r="BF106" s="8"/>
      <c r="BG106" s="8"/>
      <c r="BH106" s="8"/>
      <c r="BI106" s="8"/>
      <c r="BJ106" s="8"/>
      <c r="BK106" s="8"/>
      <c r="BL106" s="8"/>
      <c r="BM106" s="8"/>
      <c r="BN106" s="8"/>
      <c r="BO106" s="8"/>
      <c r="BP106" s="8"/>
      <c r="BQ106" s="8"/>
      <c r="BR106" s="8"/>
      <c r="BS106" s="8"/>
      <c r="BT106" s="8"/>
      <c r="BU106" s="8"/>
      <c r="BV106" s="8"/>
      <c r="BW106" s="8"/>
      <c r="BX106" s="8"/>
      <c r="BY106" s="8"/>
      <c r="BZ106" s="8"/>
      <c r="CA106" s="8"/>
      <c r="CB106" s="8"/>
      <c r="CC106" s="8"/>
      <c r="CD106" s="8"/>
      <c r="CE106" s="8"/>
      <c r="CF106" s="8"/>
      <c r="CG106" s="8"/>
      <c r="CH106" s="8"/>
      <c r="CI106" s="8"/>
      <c r="CJ106" s="8"/>
      <c r="CK106" s="8"/>
      <c r="CL106" s="8"/>
      <c r="CM106" s="8"/>
      <c r="CN106" s="8"/>
      <c r="CO106" s="8"/>
      <c r="CP106" s="8"/>
      <c r="CQ106" s="8"/>
      <c r="CR106" s="8"/>
    </row>
    <row r="107" spans="1:96" x14ac:dyDescent="0.25">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c r="AB107" s="8"/>
      <c r="AC107" s="8"/>
      <c r="AD107" s="8"/>
      <c r="AE107" s="8"/>
      <c r="AF107" s="8"/>
      <c r="AG107" s="8"/>
      <c r="AH107" s="8"/>
      <c r="AI107" s="8"/>
      <c r="AJ107" s="8"/>
      <c r="AK107" s="8"/>
      <c r="AL107" s="8"/>
      <c r="AM107" s="8"/>
      <c r="AN107" s="8"/>
      <c r="AO107" s="8"/>
      <c r="AP107" s="8"/>
      <c r="AQ107" s="8"/>
      <c r="AR107" s="8"/>
      <c r="AS107" s="8"/>
      <c r="AT107" s="8"/>
      <c r="AU107" s="8"/>
      <c r="AV107" s="8"/>
      <c r="AW107" s="8"/>
      <c r="AX107" s="8"/>
      <c r="AY107" s="8"/>
      <c r="AZ107" s="8"/>
      <c r="BA107" s="8"/>
      <c r="BB107" s="8"/>
      <c r="BC107" s="8"/>
      <c r="BD107" s="8"/>
      <c r="BE107" s="8"/>
      <c r="BF107" s="8"/>
      <c r="BG107" s="8"/>
      <c r="BH107" s="8"/>
      <c r="BI107" s="8"/>
      <c r="BJ107" s="8"/>
      <c r="BK107" s="8"/>
      <c r="BL107" s="8"/>
      <c r="BM107" s="8"/>
      <c r="BN107" s="8"/>
      <c r="BO107" s="8"/>
      <c r="BP107" s="8"/>
      <c r="BQ107" s="8"/>
      <c r="BR107" s="8"/>
      <c r="BS107" s="8"/>
      <c r="BT107" s="8"/>
      <c r="BU107" s="8"/>
      <c r="BV107" s="8"/>
      <c r="BW107" s="8"/>
      <c r="BX107" s="8"/>
      <c r="BY107" s="8"/>
      <c r="BZ107" s="8"/>
      <c r="CA107" s="8"/>
      <c r="CB107" s="8"/>
      <c r="CC107" s="8"/>
      <c r="CD107" s="8"/>
      <c r="CE107" s="8"/>
      <c r="CF107" s="8"/>
      <c r="CG107" s="8"/>
      <c r="CH107" s="8"/>
      <c r="CI107" s="8"/>
      <c r="CJ107" s="8"/>
      <c r="CK107" s="8"/>
      <c r="CL107" s="8"/>
      <c r="CM107" s="8"/>
      <c r="CN107" s="8"/>
      <c r="CO107" s="8"/>
      <c r="CP107" s="8"/>
      <c r="CQ107" s="8"/>
      <c r="CR107" s="8"/>
    </row>
    <row r="108" spans="1:96" x14ac:dyDescent="0.25">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c r="AE108" s="8"/>
      <c r="AF108" s="8"/>
      <c r="AG108" s="8"/>
      <c r="AH108" s="8"/>
      <c r="AI108" s="8"/>
      <c r="AJ108" s="8"/>
      <c r="AK108" s="8"/>
      <c r="AL108" s="8"/>
      <c r="AM108" s="8"/>
      <c r="AN108" s="8"/>
      <c r="AO108" s="8"/>
      <c r="AP108" s="8"/>
      <c r="AQ108" s="8"/>
      <c r="AR108" s="8"/>
      <c r="AS108" s="8"/>
      <c r="AT108" s="8"/>
      <c r="AU108" s="8"/>
      <c r="AV108" s="8"/>
      <c r="AW108" s="8"/>
      <c r="AX108" s="8"/>
      <c r="AY108" s="8"/>
      <c r="AZ108" s="8"/>
      <c r="BA108" s="8"/>
      <c r="BB108" s="8"/>
      <c r="BC108" s="8"/>
      <c r="BD108" s="8"/>
      <c r="BE108" s="8"/>
      <c r="BF108" s="8"/>
      <c r="BG108" s="8"/>
      <c r="BH108" s="8"/>
      <c r="BI108" s="8"/>
      <c r="BJ108" s="8"/>
      <c r="BK108" s="8"/>
      <c r="BL108" s="8"/>
      <c r="BM108" s="8"/>
      <c r="BN108" s="8"/>
      <c r="BO108" s="8"/>
      <c r="BP108" s="8"/>
      <c r="BQ108" s="8"/>
      <c r="BR108" s="8"/>
      <c r="BS108" s="8"/>
      <c r="BT108" s="8"/>
      <c r="BU108" s="8"/>
      <c r="BV108" s="8"/>
      <c r="BW108" s="8"/>
      <c r="BX108" s="8"/>
      <c r="BY108" s="8"/>
      <c r="BZ108" s="8"/>
      <c r="CA108" s="8"/>
      <c r="CB108" s="8"/>
      <c r="CC108" s="8"/>
      <c r="CD108" s="8"/>
      <c r="CE108" s="8"/>
      <c r="CF108" s="8"/>
      <c r="CG108" s="8"/>
      <c r="CH108" s="8"/>
      <c r="CI108" s="8"/>
      <c r="CJ108" s="8"/>
      <c r="CK108" s="8"/>
      <c r="CL108" s="8"/>
      <c r="CM108" s="8"/>
      <c r="CN108" s="8"/>
      <c r="CO108" s="8"/>
      <c r="CP108" s="8"/>
      <c r="CQ108" s="8"/>
      <c r="CR108" s="8"/>
    </row>
    <row r="109" spans="1:96" x14ac:dyDescent="0.25">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c r="AE109" s="8"/>
      <c r="AF109" s="8"/>
      <c r="AG109" s="8"/>
      <c r="AH109" s="8"/>
      <c r="AI109" s="8"/>
      <c r="AJ109" s="8"/>
      <c r="AK109" s="8"/>
      <c r="AL109" s="8"/>
      <c r="AM109" s="8"/>
      <c r="AN109" s="8"/>
      <c r="AO109" s="8"/>
      <c r="AP109" s="8"/>
      <c r="AQ109" s="8"/>
      <c r="AR109" s="8"/>
      <c r="AS109" s="8"/>
      <c r="AT109" s="8"/>
      <c r="AU109" s="8"/>
      <c r="AV109" s="8"/>
      <c r="AW109" s="8"/>
      <c r="AX109" s="8"/>
      <c r="AY109" s="8"/>
      <c r="AZ109" s="8"/>
      <c r="BA109" s="8"/>
      <c r="BB109" s="8"/>
      <c r="BC109" s="8"/>
      <c r="BD109" s="8"/>
      <c r="BE109" s="8"/>
      <c r="BF109" s="8"/>
      <c r="BG109" s="8"/>
      <c r="BH109" s="8"/>
      <c r="BI109" s="8"/>
      <c r="BJ109" s="8"/>
      <c r="BK109" s="8"/>
      <c r="BL109" s="8"/>
      <c r="BM109" s="8"/>
      <c r="BN109" s="8"/>
      <c r="BO109" s="8"/>
      <c r="BP109" s="8"/>
      <c r="BQ109" s="8"/>
      <c r="BR109" s="8"/>
      <c r="BS109" s="8"/>
      <c r="BT109" s="8"/>
      <c r="BU109" s="8"/>
      <c r="BV109" s="8"/>
      <c r="BW109" s="8"/>
      <c r="BX109" s="8"/>
      <c r="BY109" s="8"/>
      <c r="BZ109" s="8"/>
      <c r="CA109" s="8"/>
      <c r="CB109" s="8"/>
      <c r="CC109" s="8"/>
      <c r="CD109" s="8"/>
      <c r="CE109" s="8"/>
      <c r="CF109" s="8"/>
      <c r="CG109" s="8"/>
      <c r="CH109" s="8"/>
      <c r="CI109" s="8"/>
      <c r="CJ109" s="8"/>
      <c r="CK109" s="8"/>
      <c r="CL109" s="8"/>
      <c r="CM109" s="8"/>
      <c r="CN109" s="8"/>
      <c r="CO109" s="8"/>
      <c r="CP109" s="8"/>
      <c r="CQ109" s="8"/>
      <c r="CR109" s="8"/>
    </row>
    <row r="110" spans="1:96" x14ac:dyDescent="0.25">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c r="AE110" s="8"/>
      <c r="AF110" s="8"/>
      <c r="AG110" s="8"/>
      <c r="AH110" s="8"/>
      <c r="AI110" s="8"/>
      <c r="AJ110" s="8"/>
      <c r="AK110" s="8"/>
      <c r="AL110" s="8"/>
      <c r="AM110" s="8"/>
      <c r="AN110" s="8"/>
      <c r="AO110" s="8"/>
      <c r="AP110" s="8"/>
      <c r="AQ110" s="8"/>
      <c r="AR110" s="8"/>
      <c r="AS110" s="8"/>
      <c r="AT110" s="8"/>
      <c r="AU110" s="8"/>
      <c r="AV110" s="8"/>
      <c r="AW110" s="8"/>
      <c r="AX110" s="8"/>
      <c r="AY110" s="8"/>
      <c r="AZ110" s="8"/>
      <c r="BA110" s="8"/>
      <c r="BB110" s="8"/>
      <c r="BC110" s="8"/>
      <c r="BD110" s="8"/>
      <c r="BE110" s="8"/>
      <c r="BF110" s="8"/>
      <c r="BG110" s="8"/>
      <c r="BH110" s="8"/>
      <c r="BI110" s="8"/>
      <c r="BJ110" s="8"/>
      <c r="BK110" s="8"/>
      <c r="BL110" s="8"/>
      <c r="BM110" s="8"/>
      <c r="BN110" s="8"/>
      <c r="BO110" s="8"/>
      <c r="BP110" s="8"/>
      <c r="BQ110" s="8"/>
      <c r="BR110" s="8"/>
      <c r="BS110" s="8"/>
      <c r="BT110" s="8"/>
      <c r="BU110" s="8"/>
      <c r="BV110" s="8"/>
      <c r="BW110" s="8"/>
      <c r="BX110" s="8"/>
      <c r="BY110" s="8"/>
      <c r="BZ110" s="8"/>
      <c r="CA110" s="8"/>
      <c r="CB110" s="8"/>
      <c r="CC110" s="8"/>
      <c r="CD110" s="8"/>
      <c r="CE110" s="8"/>
      <c r="CF110" s="8"/>
      <c r="CG110" s="8"/>
      <c r="CH110" s="8"/>
      <c r="CI110" s="8"/>
      <c r="CJ110" s="8"/>
      <c r="CK110" s="8"/>
      <c r="CL110" s="8"/>
      <c r="CM110" s="8"/>
      <c r="CN110" s="8"/>
      <c r="CO110" s="8"/>
      <c r="CP110" s="8"/>
      <c r="CQ110" s="8"/>
      <c r="CR110" s="8"/>
    </row>
    <row r="111" spans="1:96" x14ac:dyDescent="0.25">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c r="AE111" s="8"/>
      <c r="AF111" s="8"/>
      <c r="AG111" s="8"/>
      <c r="AH111" s="8"/>
      <c r="AI111" s="8"/>
      <c r="AJ111" s="8"/>
      <c r="AK111" s="8"/>
      <c r="AL111" s="8"/>
      <c r="AM111" s="8"/>
      <c r="AN111" s="8"/>
      <c r="AO111" s="8"/>
      <c r="AP111" s="8"/>
      <c r="AQ111" s="8"/>
      <c r="AR111" s="8"/>
      <c r="AS111" s="8"/>
      <c r="AT111" s="8"/>
      <c r="AU111" s="8"/>
      <c r="AV111" s="8"/>
      <c r="AW111" s="8"/>
      <c r="AX111" s="8"/>
      <c r="AY111" s="8"/>
      <c r="AZ111" s="8"/>
      <c r="BA111" s="8"/>
      <c r="BB111" s="8"/>
      <c r="BC111" s="8"/>
      <c r="BD111" s="8"/>
      <c r="BE111" s="8"/>
      <c r="BF111" s="8"/>
      <c r="BG111" s="8"/>
      <c r="BH111" s="8"/>
      <c r="BI111" s="8"/>
      <c r="BJ111" s="8"/>
      <c r="BK111" s="8"/>
      <c r="BL111" s="8"/>
      <c r="BM111" s="8"/>
      <c r="BN111" s="8"/>
      <c r="BO111" s="8"/>
      <c r="BP111" s="8"/>
      <c r="BQ111" s="8"/>
      <c r="BR111" s="8"/>
      <c r="BS111" s="8"/>
      <c r="BT111" s="8"/>
      <c r="BU111" s="8"/>
      <c r="BV111" s="8"/>
      <c r="BW111" s="8"/>
      <c r="BX111" s="8"/>
      <c r="BY111" s="8"/>
      <c r="BZ111" s="8"/>
      <c r="CA111" s="8"/>
      <c r="CB111" s="8"/>
      <c r="CC111" s="8"/>
      <c r="CD111" s="8"/>
      <c r="CE111" s="8"/>
      <c r="CF111" s="8"/>
      <c r="CG111" s="8"/>
      <c r="CH111" s="8"/>
      <c r="CI111" s="8"/>
      <c r="CJ111" s="8"/>
      <c r="CK111" s="8"/>
      <c r="CL111" s="8"/>
      <c r="CM111" s="8"/>
      <c r="CN111" s="8"/>
      <c r="CO111" s="8"/>
      <c r="CP111" s="8"/>
      <c r="CQ111" s="8"/>
      <c r="CR111" s="8"/>
    </row>
    <row r="112" spans="1:96" x14ac:dyDescent="0.25">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c r="AB112" s="8"/>
      <c r="AC112" s="8"/>
      <c r="AD112" s="8"/>
      <c r="AE112" s="8"/>
      <c r="AF112" s="8"/>
      <c r="AG112" s="8"/>
      <c r="AH112" s="8"/>
      <c r="AI112" s="8"/>
      <c r="AJ112" s="8"/>
      <c r="AK112" s="8"/>
      <c r="AL112" s="8"/>
      <c r="AM112" s="8"/>
      <c r="AN112" s="8"/>
      <c r="AO112" s="8"/>
      <c r="AP112" s="8"/>
      <c r="AQ112" s="8"/>
      <c r="AR112" s="8"/>
      <c r="AS112" s="8"/>
      <c r="AT112" s="8"/>
      <c r="AU112" s="8"/>
      <c r="AV112" s="8"/>
      <c r="AW112" s="8"/>
      <c r="AX112" s="8"/>
      <c r="AY112" s="8"/>
      <c r="AZ112" s="8"/>
      <c r="BA112" s="8"/>
      <c r="BB112" s="8"/>
      <c r="BC112" s="8"/>
      <c r="BD112" s="8"/>
      <c r="BE112" s="8"/>
      <c r="BF112" s="8"/>
      <c r="BG112" s="8"/>
      <c r="BH112" s="8"/>
      <c r="BI112" s="8"/>
      <c r="BJ112" s="8"/>
      <c r="BK112" s="8"/>
      <c r="BL112" s="8"/>
      <c r="BM112" s="8"/>
      <c r="BN112" s="8"/>
      <c r="BO112" s="8"/>
      <c r="BP112" s="8"/>
      <c r="BQ112" s="8"/>
      <c r="BR112" s="8"/>
      <c r="BS112" s="8"/>
      <c r="BT112" s="8"/>
      <c r="BU112" s="8"/>
      <c r="BV112" s="8"/>
      <c r="BW112" s="8"/>
      <c r="BX112" s="8"/>
      <c r="BY112" s="8"/>
      <c r="BZ112" s="8"/>
      <c r="CA112" s="8"/>
      <c r="CB112" s="8"/>
      <c r="CC112" s="8"/>
      <c r="CD112" s="8"/>
      <c r="CE112" s="8"/>
      <c r="CF112" s="8"/>
      <c r="CG112" s="8"/>
      <c r="CH112" s="8"/>
      <c r="CI112" s="8"/>
      <c r="CJ112" s="8"/>
      <c r="CK112" s="8"/>
      <c r="CL112" s="8"/>
      <c r="CM112" s="8"/>
      <c r="CN112" s="8"/>
      <c r="CO112" s="8"/>
      <c r="CP112" s="8"/>
      <c r="CQ112" s="8"/>
      <c r="CR112" s="8"/>
    </row>
    <row r="113" spans="1:96" x14ac:dyDescent="0.25">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c r="AB113" s="8"/>
      <c r="AC113" s="8"/>
      <c r="AD113" s="8"/>
      <c r="AE113" s="8"/>
      <c r="AF113" s="8"/>
      <c r="AG113" s="8"/>
      <c r="AH113" s="8"/>
      <c r="AI113" s="8"/>
      <c r="AJ113" s="8"/>
      <c r="AK113" s="8"/>
      <c r="AL113" s="8"/>
      <c r="AM113" s="8"/>
      <c r="AN113" s="8"/>
      <c r="AO113" s="8"/>
      <c r="AP113" s="8"/>
      <c r="AQ113" s="8"/>
      <c r="AR113" s="8"/>
      <c r="AS113" s="8"/>
      <c r="AT113" s="8"/>
      <c r="AU113" s="8"/>
      <c r="AV113" s="8"/>
      <c r="AW113" s="8"/>
      <c r="AX113" s="8"/>
      <c r="AY113" s="8"/>
      <c r="AZ113" s="8"/>
      <c r="BA113" s="8"/>
      <c r="BB113" s="8"/>
      <c r="BC113" s="8"/>
      <c r="BD113" s="8"/>
      <c r="BE113" s="8"/>
      <c r="BF113" s="8"/>
      <c r="BG113" s="8"/>
      <c r="BH113" s="8"/>
      <c r="BI113" s="8"/>
      <c r="BJ113" s="8"/>
      <c r="BK113" s="8"/>
      <c r="BL113" s="8"/>
      <c r="BM113" s="8"/>
      <c r="BN113" s="8"/>
      <c r="BO113" s="8"/>
      <c r="BP113" s="8"/>
      <c r="BQ113" s="8"/>
      <c r="BR113" s="8"/>
      <c r="BS113" s="8"/>
      <c r="BT113" s="8"/>
      <c r="BU113" s="8"/>
      <c r="BV113" s="8"/>
      <c r="BW113" s="8"/>
      <c r="BX113" s="8"/>
      <c r="BY113" s="8"/>
      <c r="BZ113" s="8"/>
      <c r="CA113" s="8"/>
      <c r="CB113" s="8"/>
      <c r="CC113" s="8"/>
      <c r="CD113" s="8"/>
      <c r="CE113" s="8"/>
      <c r="CF113" s="8"/>
      <c r="CG113" s="8"/>
      <c r="CH113" s="8"/>
      <c r="CI113" s="8"/>
      <c r="CJ113" s="8"/>
      <c r="CK113" s="8"/>
      <c r="CL113" s="8"/>
      <c r="CM113" s="8"/>
      <c r="CN113" s="8"/>
      <c r="CO113" s="8"/>
      <c r="CP113" s="8"/>
      <c r="CQ113" s="8"/>
      <c r="CR113" s="8"/>
    </row>
    <row r="114" spans="1:96" x14ac:dyDescent="0.25">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c r="AA114" s="8"/>
      <c r="AB114" s="8"/>
      <c r="AC114" s="8"/>
      <c r="AD114" s="8"/>
      <c r="AE114" s="8"/>
      <c r="AF114" s="8"/>
      <c r="AG114" s="8"/>
      <c r="AH114" s="8"/>
      <c r="AI114" s="8"/>
      <c r="AJ114" s="8"/>
      <c r="AK114" s="8"/>
      <c r="AL114" s="8"/>
      <c r="AM114" s="8"/>
      <c r="AN114" s="8"/>
      <c r="AO114" s="8"/>
      <c r="AP114" s="8"/>
      <c r="AQ114" s="8"/>
      <c r="AR114" s="8"/>
      <c r="AS114" s="8"/>
      <c r="AT114" s="8"/>
      <c r="AU114" s="8"/>
      <c r="AV114" s="8"/>
      <c r="AW114" s="8"/>
      <c r="AX114" s="8"/>
      <c r="AY114" s="8"/>
      <c r="AZ114" s="8"/>
      <c r="BA114" s="8"/>
      <c r="BB114" s="8"/>
      <c r="BC114" s="8"/>
      <c r="BD114" s="8"/>
      <c r="BE114" s="8"/>
      <c r="BF114" s="8"/>
      <c r="BG114" s="8"/>
      <c r="BH114" s="8"/>
      <c r="BI114" s="8"/>
      <c r="BJ114" s="8"/>
      <c r="BK114" s="8"/>
      <c r="BL114" s="8"/>
      <c r="BM114" s="8"/>
      <c r="BN114" s="8"/>
      <c r="BO114" s="8"/>
      <c r="BP114" s="8"/>
      <c r="BQ114" s="8"/>
      <c r="BR114" s="8"/>
      <c r="BS114" s="8"/>
      <c r="BT114" s="8"/>
      <c r="BU114" s="8"/>
      <c r="BV114" s="8"/>
      <c r="BW114" s="8"/>
      <c r="BX114" s="8"/>
      <c r="BY114" s="8"/>
      <c r="BZ114" s="8"/>
      <c r="CA114" s="8"/>
      <c r="CB114" s="8"/>
      <c r="CC114" s="8"/>
      <c r="CD114" s="8"/>
      <c r="CE114" s="8"/>
      <c r="CF114" s="8"/>
      <c r="CG114" s="8"/>
      <c r="CH114" s="8"/>
      <c r="CI114" s="8"/>
      <c r="CJ114" s="8"/>
      <c r="CK114" s="8"/>
      <c r="CL114" s="8"/>
      <c r="CM114" s="8"/>
      <c r="CN114" s="8"/>
      <c r="CO114" s="8"/>
      <c r="CP114" s="8"/>
      <c r="CQ114" s="8"/>
      <c r="CR114" s="8"/>
    </row>
    <row r="115" spans="1:96" x14ac:dyDescent="0.2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c r="AB115" s="8"/>
      <c r="AC115" s="8"/>
      <c r="AD115" s="8"/>
      <c r="AE115" s="8"/>
      <c r="AF115" s="8"/>
      <c r="AG115" s="8"/>
      <c r="AH115" s="8"/>
      <c r="AI115" s="8"/>
      <c r="AJ115" s="8"/>
      <c r="AK115" s="8"/>
      <c r="AL115" s="8"/>
      <c r="AM115" s="8"/>
      <c r="AN115" s="8"/>
      <c r="AO115" s="8"/>
      <c r="AP115" s="8"/>
      <c r="AQ115" s="8"/>
      <c r="AR115" s="8"/>
      <c r="AS115" s="8"/>
      <c r="AT115" s="8"/>
      <c r="AU115" s="8"/>
      <c r="AV115" s="8"/>
      <c r="AW115" s="8"/>
      <c r="AX115" s="8"/>
      <c r="AY115" s="8"/>
      <c r="AZ115" s="8"/>
      <c r="BA115" s="8"/>
      <c r="BB115" s="8"/>
      <c r="BC115" s="8"/>
      <c r="BD115" s="8"/>
      <c r="BE115" s="8"/>
      <c r="BF115" s="8"/>
      <c r="BG115" s="8"/>
      <c r="BH115" s="8"/>
      <c r="BI115" s="8"/>
      <c r="BJ115" s="8"/>
      <c r="BK115" s="8"/>
      <c r="BL115" s="8"/>
      <c r="BM115" s="8"/>
      <c r="BN115" s="8"/>
      <c r="BO115" s="8"/>
      <c r="BP115" s="8"/>
      <c r="BQ115" s="8"/>
      <c r="BR115" s="8"/>
      <c r="BS115" s="8"/>
      <c r="BT115" s="8"/>
      <c r="BU115" s="8"/>
      <c r="BV115" s="8"/>
      <c r="BW115" s="8"/>
      <c r="BX115" s="8"/>
      <c r="BY115" s="8"/>
      <c r="BZ115" s="8"/>
      <c r="CA115" s="8"/>
      <c r="CB115" s="8"/>
      <c r="CC115" s="8"/>
      <c r="CD115" s="8"/>
      <c r="CE115" s="8"/>
      <c r="CF115" s="8"/>
      <c r="CG115" s="8"/>
      <c r="CH115" s="8"/>
      <c r="CI115" s="8"/>
      <c r="CJ115" s="8"/>
      <c r="CK115" s="8"/>
      <c r="CL115" s="8"/>
      <c r="CM115" s="8"/>
      <c r="CN115" s="8"/>
      <c r="CO115" s="8"/>
      <c r="CP115" s="8"/>
      <c r="CQ115" s="8"/>
      <c r="CR115" s="8"/>
    </row>
    <row r="116" spans="1:96" x14ac:dyDescent="0.25">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c r="AA116" s="8"/>
      <c r="AB116" s="8"/>
      <c r="AC116" s="8"/>
      <c r="AD116" s="8"/>
      <c r="AE116" s="8"/>
      <c r="AF116" s="8"/>
      <c r="AG116" s="8"/>
      <c r="AH116" s="8"/>
      <c r="AI116" s="8"/>
      <c r="AJ116" s="8"/>
      <c r="AK116" s="8"/>
      <c r="AL116" s="8"/>
      <c r="AM116" s="8"/>
      <c r="AN116" s="8"/>
      <c r="AO116" s="8"/>
      <c r="AP116" s="8"/>
      <c r="AQ116" s="8"/>
      <c r="AR116" s="8"/>
      <c r="AS116" s="8"/>
      <c r="AT116" s="8"/>
      <c r="AU116" s="8"/>
      <c r="AV116" s="8"/>
      <c r="AW116" s="8"/>
      <c r="AX116" s="8"/>
      <c r="AY116" s="8"/>
      <c r="AZ116" s="8"/>
      <c r="BA116" s="8"/>
      <c r="BB116" s="8"/>
      <c r="BC116" s="8"/>
      <c r="BD116" s="8"/>
      <c r="BE116" s="8"/>
      <c r="BF116" s="8"/>
      <c r="BG116" s="8"/>
      <c r="BH116" s="8"/>
      <c r="BI116" s="8"/>
      <c r="BJ116" s="8"/>
      <c r="BK116" s="8"/>
      <c r="BL116" s="8"/>
      <c r="BM116" s="8"/>
      <c r="BN116" s="8"/>
      <c r="BO116" s="8"/>
      <c r="BP116" s="8"/>
      <c r="BQ116" s="8"/>
      <c r="BR116" s="8"/>
      <c r="BS116" s="8"/>
      <c r="BT116" s="8"/>
      <c r="BU116" s="8"/>
      <c r="BV116" s="8"/>
      <c r="BW116" s="8"/>
      <c r="BX116" s="8"/>
      <c r="BY116" s="8"/>
      <c r="BZ116" s="8"/>
      <c r="CA116" s="8"/>
      <c r="CB116" s="8"/>
      <c r="CC116" s="8"/>
      <c r="CD116" s="8"/>
      <c r="CE116" s="8"/>
      <c r="CF116" s="8"/>
      <c r="CG116" s="8"/>
      <c r="CH116" s="8"/>
      <c r="CI116" s="8"/>
      <c r="CJ116" s="8"/>
      <c r="CK116" s="8"/>
      <c r="CL116" s="8"/>
      <c r="CM116" s="8"/>
      <c r="CN116" s="8"/>
      <c r="CO116" s="8"/>
      <c r="CP116" s="8"/>
      <c r="CQ116" s="8"/>
      <c r="CR116" s="8"/>
    </row>
    <row r="117" spans="1:96" x14ac:dyDescent="0.25">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c r="AA117" s="8"/>
      <c r="AB117" s="8"/>
      <c r="AC117" s="8"/>
      <c r="AD117" s="8"/>
      <c r="AE117" s="8"/>
      <c r="AF117" s="8"/>
      <c r="AG117" s="8"/>
      <c r="AH117" s="8"/>
      <c r="AI117" s="8"/>
      <c r="AJ117" s="8"/>
      <c r="AK117" s="8"/>
      <c r="AL117" s="8"/>
      <c r="AM117" s="8"/>
      <c r="AN117" s="8"/>
      <c r="AO117" s="8"/>
      <c r="AP117" s="8"/>
      <c r="AQ117" s="8"/>
      <c r="AR117" s="8"/>
      <c r="AS117" s="8"/>
      <c r="AT117" s="8"/>
      <c r="AU117" s="8"/>
      <c r="AV117" s="8"/>
      <c r="AW117" s="8"/>
      <c r="AX117" s="8"/>
      <c r="AY117" s="8"/>
      <c r="AZ117" s="8"/>
      <c r="BA117" s="8"/>
      <c r="BB117" s="8"/>
      <c r="BC117" s="8"/>
      <c r="BD117" s="8"/>
      <c r="BE117" s="8"/>
      <c r="BF117" s="8"/>
      <c r="BG117" s="8"/>
      <c r="BH117" s="8"/>
      <c r="BI117" s="8"/>
      <c r="BJ117" s="8"/>
      <c r="BK117" s="8"/>
      <c r="BL117" s="8"/>
      <c r="BM117" s="8"/>
      <c r="BN117" s="8"/>
      <c r="BO117" s="8"/>
      <c r="BP117" s="8"/>
      <c r="BQ117" s="8"/>
      <c r="BR117" s="8"/>
      <c r="BS117" s="8"/>
      <c r="BT117" s="8"/>
      <c r="BU117" s="8"/>
      <c r="BV117" s="8"/>
      <c r="BW117" s="8"/>
      <c r="BX117" s="8"/>
      <c r="BY117" s="8"/>
      <c r="BZ117" s="8"/>
      <c r="CA117" s="8"/>
      <c r="CB117" s="8"/>
      <c r="CC117" s="8"/>
      <c r="CD117" s="8"/>
      <c r="CE117" s="8"/>
      <c r="CF117" s="8"/>
      <c r="CG117" s="8"/>
      <c r="CH117" s="8"/>
      <c r="CI117" s="8"/>
      <c r="CJ117" s="8"/>
      <c r="CK117" s="8"/>
      <c r="CL117" s="8"/>
      <c r="CM117" s="8"/>
      <c r="CN117" s="8"/>
      <c r="CO117" s="8"/>
      <c r="CP117" s="8"/>
      <c r="CQ117" s="8"/>
      <c r="CR117" s="8"/>
    </row>
    <row r="118" spans="1:96" x14ac:dyDescent="0.25">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c r="AA118" s="8"/>
      <c r="AB118" s="8"/>
      <c r="AC118" s="8"/>
      <c r="AD118" s="8"/>
      <c r="AE118" s="8"/>
      <c r="AF118" s="8"/>
      <c r="AG118" s="8"/>
      <c r="AH118" s="8"/>
      <c r="AI118" s="8"/>
      <c r="AJ118" s="8"/>
      <c r="AK118" s="8"/>
      <c r="AL118" s="8"/>
      <c r="AM118" s="8"/>
      <c r="AN118" s="8"/>
      <c r="AO118" s="8"/>
      <c r="AP118" s="8"/>
      <c r="AQ118" s="8"/>
      <c r="AR118" s="8"/>
      <c r="AS118" s="8"/>
      <c r="AT118" s="8"/>
      <c r="AU118" s="8"/>
      <c r="AV118" s="8"/>
      <c r="AW118" s="8"/>
      <c r="AX118" s="8"/>
      <c r="AY118" s="8"/>
      <c r="AZ118" s="8"/>
      <c r="BA118" s="8"/>
      <c r="BB118" s="8"/>
      <c r="BC118" s="8"/>
      <c r="BD118" s="8"/>
      <c r="BE118" s="8"/>
      <c r="BF118" s="8"/>
      <c r="BG118" s="8"/>
      <c r="BH118" s="8"/>
      <c r="BI118" s="8"/>
      <c r="BJ118" s="8"/>
      <c r="BK118" s="8"/>
      <c r="BL118" s="8"/>
      <c r="BM118" s="8"/>
      <c r="BN118" s="8"/>
      <c r="BO118" s="8"/>
      <c r="BP118" s="8"/>
      <c r="BQ118" s="8"/>
      <c r="BR118" s="8"/>
      <c r="BS118" s="8"/>
      <c r="BT118" s="8"/>
      <c r="BU118" s="8"/>
      <c r="BV118" s="8"/>
      <c r="BW118" s="8"/>
      <c r="BX118" s="8"/>
      <c r="BY118" s="8"/>
      <c r="BZ118" s="8"/>
      <c r="CA118" s="8"/>
      <c r="CB118" s="8"/>
      <c r="CC118" s="8"/>
      <c r="CD118" s="8"/>
      <c r="CE118" s="8"/>
      <c r="CF118" s="8"/>
      <c r="CG118" s="8"/>
      <c r="CH118" s="8"/>
      <c r="CI118" s="8"/>
      <c r="CJ118" s="8"/>
      <c r="CK118" s="8"/>
      <c r="CL118" s="8"/>
      <c r="CM118" s="8"/>
      <c r="CN118" s="8"/>
      <c r="CO118" s="8"/>
      <c r="CP118" s="8"/>
      <c r="CQ118" s="8"/>
      <c r="CR118" s="8"/>
    </row>
    <row r="119" spans="1:96" x14ac:dyDescent="0.25">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c r="AB119" s="8"/>
      <c r="AC119" s="8"/>
      <c r="AD119" s="8"/>
      <c r="AE119" s="8"/>
      <c r="AF119" s="8"/>
      <c r="AG119" s="8"/>
      <c r="AH119" s="8"/>
      <c r="AI119" s="8"/>
      <c r="AJ119" s="8"/>
      <c r="AK119" s="8"/>
      <c r="AL119" s="8"/>
      <c r="AM119" s="8"/>
      <c r="AN119" s="8"/>
      <c r="AO119" s="8"/>
      <c r="AP119" s="8"/>
      <c r="AQ119" s="8"/>
      <c r="AR119" s="8"/>
      <c r="AS119" s="8"/>
      <c r="AT119" s="8"/>
      <c r="AU119" s="8"/>
      <c r="AV119" s="8"/>
      <c r="AW119" s="8"/>
      <c r="AX119" s="8"/>
      <c r="AY119" s="8"/>
      <c r="AZ119" s="8"/>
      <c r="BA119" s="8"/>
      <c r="BB119" s="8"/>
      <c r="BC119" s="8"/>
      <c r="BD119" s="8"/>
      <c r="BE119" s="8"/>
      <c r="BF119" s="8"/>
      <c r="BG119" s="8"/>
      <c r="BH119" s="8"/>
      <c r="BI119" s="8"/>
      <c r="BJ119" s="8"/>
      <c r="BK119" s="8"/>
      <c r="BL119" s="8"/>
      <c r="BM119" s="8"/>
      <c r="BN119" s="8"/>
      <c r="BO119" s="8"/>
      <c r="BP119" s="8"/>
      <c r="BQ119" s="8"/>
      <c r="BR119" s="8"/>
      <c r="BS119" s="8"/>
      <c r="BT119" s="8"/>
      <c r="BU119" s="8"/>
      <c r="BV119" s="8"/>
      <c r="BW119" s="8"/>
      <c r="BX119" s="8"/>
      <c r="BY119" s="8"/>
      <c r="BZ119" s="8"/>
      <c r="CA119" s="8"/>
      <c r="CB119" s="8"/>
      <c r="CC119" s="8"/>
      <c r="CD119" s="8"/>
      <c r="CE119" s="8"/>
      <c r="CF119" s="8"/>
      <c r="CG119" s="8"/>
      <c r="CH119" s="8"/>
      <c r="CI119" s="8"/>
      <c r="CJ119" s="8"/>
      <c r="CK119" s="8"/>
      <c r="CL119" s="8"/>
      <c r="CM119" s="8"/>
      <c r="CN119" s="8"/>
      <c r="CO119" s="8"/>
      <c r="CP119" s="8"/>
      <c r="CQ119" s="8"/>
      <c r="CR119" s="8"/>
    </row>
    <row r="120" spans="1:96" x14ac:dyDescent="0.25">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c r="AB120" s="8"/>
      <c r="AC120" s="8"/>
      <c r="AD120" s="8"/>
      <c r="AE120" s="8"/>
      <c r="AF120" s="8"/>
      <c r="AG120" s="8"/>
      <c r="AH120" s="8"/>
      <c r="AI120" s="8"/>
      <c r="AJ120" s="8"/>
      <c r="AK120" s="8"/>
      <c r="AL120" s="8"/>
      <c r="AM120" s="8"/>
      <c r="AN120" s="8"/>
      <c r="AO120" s="8"/>
      <c r="AP120" s="8"/>
      <c r="AQ120" s="8"/>
      <c r="AR120" s="8"/>
      <c r="AS120" s="8"/>
      <c r="AT120" s="8"/>
      <c r="AU120" s="8"/>
      <c r="AV120" s="8"/>
      <c r="AW120" s="8"/>
      <c r="AX120" s="8"/>
      <c r="AY120" s="8"/>
      <c r="AZ120" s="8"/>
      <c r="BA120" s="8"/>
      <c r="BB120" s="8"/>
      <c r="BC120" s="8"/>
      <c r="BD120" s="8"/>
      <c r="BE120" s="8"/>
      <c r="BF120" s="8"/>
      <c r="BG120" s="8"/>
      <c r="BH120" s="8"/>
      <c r="BI120" s="8"/>
      <c r="BJ120" s="8"/>
      <c r="BK120" s="8"/>
      <c r="BL120" s="8"/>
      <c r="BM120" s="8"/>
      <c r="BN120" s="8"/>
      <c r="BO120" s="8"/>
      <c r="BP120" s="8"/>
      <c r="BQ120" s="8"/>
      <c r="BR120" s="8"/>
      <c r="BS120" s="8"/>
      <c r="BT120" s="8"/>
      <c r="BU120" s="8"/>
      <c r="BV120" s="8"/>
      <c r="BW120" s="8"/>
      <c r="BX120" s="8"/>
      <c r="BY120" s="8"/>
      <c r="BZ120" s="8"/>
      <c r="CA120" s="8"/>
      <c r="CB120" s="8"/>
      <c r="CC120" s="8"/>
      <c r="CD120" s="8"/>
      <c r="CE120" s="8"/>
      <c r="CF120" s="8"/>
      <c r="CG120" s="8"/>
      <c r="CH120" s="8"/>
      <c r="CI120" s="8"/>
      <c r="CJ120" s="8"/>
      <c r="CK120" s="8"/>
      <c r="CL120" s="8"/>
      <c r="CM120" s="8"/>
      <c r="CN120" s="8"/>
      <c r="CO120" s="8"/>
      <c r="CP120" s="8"/>
      <c r="CQ120" s="8"/>
      <c r="CR120" s="8"/>
    </row>
    <row r="121" spans="1:96" x14ac:dyDescent="0.25">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c r="AB121" s="8"/>
      <c r="AC121" s="8"/>
      <c r="AD121" s="8"/>
      <c r="AE121" s="8"/>
      <c r="AF121" s="8"/>
      <c r="AG121" s="8"/>
      <c r="AH121" s="8"/>
      <c r="AI121" s="8"/>
      <c r="AJ121" s="8"/>
      <c r="AK121" s="8"/>
      <c r="AL121" s="8"/>
      <c r="AM121" s="8"/>
      <c r="AN121" s="8"/>
      <c r="AO121" s="8"/>
      <c r="AP121" s="8"/>
      <c r="AQ121" s="8"/>
      <c r="AR121" s="8"/>
      <c r="AS121" s="8"/>
      <c r="AT121" s="8"/>
      <c r="AU121" s="8"/>
      <c r="AV121" s="8"/>
      <c r="AW121" s="8"/>
      <c r="AX121" s="8"/>
      <c r="AY121" s="8"/>
      <c r="AZ121" s="8"/>
      <c r="BA121" s="8"/>
      <c r="BB121" s="8"/>
      <c r="BC121" s="8"/>
      <c r="BD121" s="8"/>
      <c r="BE121" s="8"/>
      <c r="BF121" s="8"/>
      <c r="BG121" s="8"/>
      <c r="BH121" s="8"/>
      <c r="BI121" s="8"/>
      <c r="BJ121" s="8"/>
      <c r="BK121" s="8"/>
      <c r="BL121" s="8"/>
      <c r="BM121" s="8"/>
      <c r="BN121" s="8"/>
      <c r="BO121" s="8"/>
      <c r="BP121" s="8"/>
      <c r="BQ121" s="8"/>
      <c r="BR121" s="8"/>
      <c r="BS121" s="8"/>
      <c r="BT121" s="8"/>
      <c r="BU121" s="8"/>
      <c r="BV121" s="8"/>
      <c r="BW121" s="8"/>
      <c r="BX121" s="8"/>
      <c r="BY121" s="8"/>
      <c r="BZ121" s="8"/>
      <c r="CA121" s="8"/>
      <c r="CB121" s="8"/>
      <c r="CC121" s="8"/>
      <c r="CD121" s="8"/>
      <c r="CE121" s="8"/>
      <c r="CF121" s="8"/>
      <c r="CG121" s="8"/>
      <c r="CH121" s="8"/>
      <c r="CI121" s="8"/>
      <c r="CJ121" s="8"/>
      <c r="CK121" s="8"/>
      <c r="CL121" s="8"/>
      <c r="CM121" s="8"/>
      <c r="CN121" s="8"/>
      <c r="CO121" s="8"/>
      <c r="CP121" s="8"/>
      <c r="CQ121" s="8"/>
      <c r="CR121" s="8"/>
    </row>
    <row r="122" spans="1:96" x14ac:dyDescent="0.25">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c r="AB122" s="8"/>
      <c r="AC122" s="8"/>
      <c r="AD122" s="8"/>
      <c r="AE122" s="8"/>
      <c r="AF122" s="8"/>
      <c r="AG122" s="8"/>
      <c r="AH122" s="8"/>
      <c r="AI122" s="8"/>
      <c r="AJ122" s="8"/>
      <c r="AK122" s="8"/>
      <c r="AL122" s="8"/>
      <c r="AM122" s="8"/>
      <c r="AN122" s="8"/>
      <c r="AO122" s="8"/>
      <c r="AP122" s="8"/>
      <c r="AQ122" s="8"/>
      <c r="AR122" s="8"/>
      <c r="AS122" s="8"/>
      <c r="AT122" s="8"/>
      <c r="AU122" s="8"/>
      <c r="AV122" s="8"/>
      <c r="AW122" s="8"/>
      <c r="AX122" s="8"/>
      <c r="AY122" s="8"/>
      <c r="AZ122" s="8"/>
      <c r="BA122" s="8"/>
      <c r="BB122" s="8"/>
      <c r="BC122" s="8"/>
      <c r="BD122" s="8"/>
      <c r="BE122" s="8"/>
      <c r="BF122" s="8"/>
      <c r="BG122" s="8"/>
      <c r="BH122" s="8"/>
      <c r="BI122" s="8"/>
      <c r="BJ122" s="8"/>
      <c r="BK122" s="8"/>
      <c r="BL122" s="8"/>
      <c r="BM122" s="8"/>
      <c r="BN122" s="8"/>
      <c r="BO122" s="8"/>
      <c r="BP122" s="8"/>
      <c r="BQ122" s="8"/>
      <c r="BR122" s="8"/>
      <c r="BS122" s="8"/>
      <c r="BT122" s="8"/>
      <c r="BU122" s="8"/>
      <c r="BV122" s="8"/>
      <c r="BW122" s="8"/>
      <c r="BX122" s="8"/>
      <c r="BY122" s="8"/>
      <c r="BZ122" s="8"/>
      <c r="CA122" s="8"/>
      <c r="CB122" s="8"/>
      <c r="CC122" s="8"/>
      <c r="CD122" s="8"/>
      <c r="CE122" s="8"/>
      <c r="CF122" s="8"/>
      <c r="CG122" s="8"/>
      <c r="CH122" s="8"/>
      <c r="CI122" s="8"/>
      <c r="CJ122" s="8"/>
      <c r="CK122" s="8"/>
      <c r="CL122" s="8"/>
      <c r="CM122" s="8"/>
      <c r="CN122" s="8"/>
      <c r="CO122" s="8"/>
      <c r="CP122" s="8"/>
      <c r="CQ122" s="8"/>
      <c r="CR122" s="8"/>
    </row>
    <row r="123" spans="1:96" x14ac:dyDescent="0.25">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c r="AB123" s="8"/>
      <c r="AC123" s="8"/>
      <c r="AD123" s="8"/>
      <c r="AE123" s="8"/>
      <c r="AF123" s="8"/>
      <c r="AG123" s="8"/>
      <c r="AH123" s="8"/>
      <c r="AI123" s="8"/>
      <c r="AJ123" s="8"/>
      <c r="AK123" s="8"/>
      <c r="AL123" s="8"/>
      <c r="AM123" s="8"/>
      <c r="AN123" s="8"/>
      <c r="AO123" s="8"/>
      <c r="AP123" s="8"/>
      <c r="AQ123" s="8"/>
      <c r="AR123" s="8"/>
      <c r="AS123" s="8"/>
      <c r="AT123" s="8"/>
      <c r="AU123" s="8"/>
      <c r="AV123" s="8"/>
      <c r="AW123" s="8"/>
      <c r="AX123" s="8"/>
      <c r="AY123" s="8"/>
      <c r="AZ123" s="8"/>
      <c r="BA123" s="8"/>
      <c r="BB123" s="8"/>
      <c r="BC123" s="8"/>
      <c r="BD123" s="8"/>
      <c r="BE123" s="8"/>
      <c r="BF123" s="8"/>
      <c r="BG123" s="8"/>
      <c r="BH123" s="8"/>
      <c r="BI123" s="8"/>
      <c r="BJ123" s="8"/>
      <c r="BK123" s="8"/>
      <c r="BL123" s="8"/>
      <c r="BM123" s="8"/>
      <c r="BN123" s="8"/>
      <c r="BO123" s="8"/>
      <c r="BP123" s="8"/>
      <c r="BQ123" s="8"/>
      <c r="BR123" s="8"/>
      <c r="BS123" s="8"/>
      <c r="BT123" s="8"/>
      <c r="BU123" s="8"/>
      <c r="BV123" s="8"/>
      <c r="BW123" s="8"/>
      <c r="BX123" s="8"/>
      <c r="BY123" s="8"/>
      <c r="BZ123" s="8"/>
      <c r="CA123" s="8"/>
      <c r="CB123" s="8"/>
      <c r="CC123" s="8"/>
      <c r="CD123" s="8"/>
      <c r="CE123" s="8"/>
      <c r="CF123" s="8"/>
      <c r="CG123" s="8"/>
      <c r="CH123" s="8"/>
      <c r="CI123" s="8"/>
      <c r="CJ123" s="8"/>
      <c r="CK123" s="8"/>
      <c r="CL123" s="8"/>
      <c r="CM123" s="8"/>
      <c r="CN123" s="8"/>
      <c r="CO123" s="8"/>
      <c r="CP123" s="8"/>
      <c r="CQ123" s="8"/>
      <c r="CR123" s="8"/>
    </row>
    <row r="124" spans="1:96" x14ac:dyDescent="0.25">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c r="AB124" s="8"/>
      <c r="AC124" s="8"/>
      <c r="AD124" s="8"/>
      <c r="AE124" s="8"/>
      <c r="AF124" s="8"/>
      <c r="AG124" s="8"/>
      <c r="AH124" s="8"/>
      <c r="AI124" s="8"/>
      <c r="AJ124" s="8"/>
      <c r="AK124" s="8"/>
      <c r="AL124" s="8"/>
      <c r="AM124" s="8"/>
      <c r="AN124" s="8"/>
      <c r="AO124" s="8"/>
      <c r="AP124" s="8"/>
      <c r="AQ124" s="8"/>
      <c r="AR124" s="8"/>
      <c r="AS124" s="8"/>
      <c r="AT124" s="8"/>
      <c r="AU124" s="8"/>
      <c r="AV124" s="8"/>
      <c r="AW124" s="8"/>
      <c r="AX124" s="8"/>
      <c r="AY124" s="8"/>
      <c r="AZ124" s="8"/>
      <c r="BA124" s="8"/>
      <c r="BB124" s="8"/>
      <c r="BC124" s="8"/>
      <c r="BD124" s="8"/>
      <c r="BE124" s="8"/>
      <c r="BF124" s="8"/>
      <c r="BG124" s="8"/>
      <c r="BH124" s="8"/>
      <c r="BI124" s="8"/>
      <c r="BJ124" s="8"/>
      <c r="BK124" s="8"/>
      <c r="BL124" s="8"/>
      <c r="BM124" s="8"/>
      <c r="BN124" s="8"/>
      <c r="BO124" s="8"/>
      <c r="BP124" s="8"/>
      <c r="BQ124" s="8"/>
      <c r="BR124" s="8"/>
      <c r="BS124" s="8"/>
      <c r="BT124" s="8"/>
      <c r="BU124" s="8"/>
      <c r="BV124" s="8"/>
      <c r="BW124" s="8"/>
      <c r="BX124" s="8"/>
      <c r="BY124" s="8"/>
      <c r="BZ124" s="8"/>
      <c r="CA124" s="8"/>
      <c r="CB124" s="8"/>
      <c r="CC124" s="8"/>
      <c r="CD124" s="8"/>
      <c r="CE124" s="8"/>
      <c r="CF124" s="8"/>
      <c r="CG124" s="8"/>
      <c r="CH124" s="8"/>
      <c r="CI124" s="8"/>
      <c r="CJ124" s="8"/>
      <c r="CK124" s="8"/>
      <c r="CL124" s="8"/>
      <c r="CM124" s="8"/>
      <c r="CN124" s="8"/>
      <c r="CO124" s="8"/>
      <c r="CP124" s="8"/>
      <c r="CQ124" s="8"/>
      <c r="CR124" s="8"/>
    </row>
    <row r="125" spans="1:96" x14ac:dyDescent="0.2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c r="AB125" s="8"/>
      <c r="AC125" s="8"/>
      <c r="AD125" s="8"/>
      <c r="AE125" s="8"/>
      <c r="AF125" s="8"/>
      <c r="AG125" s="8"/>
      <c r="AH125" s="8"/>
      <c r="AI125" s="8"/>
      <c r="AJ125" s="8"/>
      <c r="AK125" s="8"/>
      <c r="AL125" s="8"/>
      <c r="AM125" s="8"/>
      <c r="AN125" s="8"/>
      <c r="AO125" s="8"/>
      <c r="AP125" s="8"/>
      <c r="AQ125" s="8"/>
      <c r="AR125" s="8"/>
      <c r="AS125" s="8"/>
      <c r="AT125" s="8"/>
      <c r="AU125" s="8"/>
      <c r="AV125" s="8"/>
      <c r="AW125" s="8"/>
      <c r="AX125" s="8"/>
      <c r="AY125" s="8"/>
      <c r="AZ125" s="8"/>
      <c r="BA125" s="8"/>
      <c r="BB125" s="8"/>
      <c r="BC125" s="8"/>
      <c r="BD125" s="8"/>
      <c r="BE125" s="8"/>
      <c r="BF125" s="8"/>
      <c r="BG125" s="8"/>
      <c r="BH125" s="8"/>
      <c r="BI125" s="8"/>
      <c r="BJ125" s="8"/>
      <c r="BK125" s="8"/>
      <c r="BL125" s="8"/>
      <c r="BM125" s="8"/>
      <c r="BN125" s="8"/>
      <c r="BO125" s="8"/>
      <c r="BP125" s="8"/>
      <c r="BQ125" s="8"/>
      <c r="BR125" s="8"/>
      <c r="BS125" s="8"/>
      <c r="BT125" s="8"/>
      <c r="BU125" s="8"/>
      <c r="BV125" s="8"/>
      <c r="BW125" s="8"/>
      <c r="BX125" s="8"/>
      <c r="BY125" s="8"/>
      <c r="BZ125" s="8"/>
      <c r="CA125" s="8"/>
      <c r="CB125" s="8"/>
      <c r="CC125" s="8"/>
      <c r="CD125" s="8"/>
      <c r="CE125" s="8"/>
      <c r="CF125" s="8"/>
      <c r="CG125" s="8"/>
      <c r="CH125" s="8"/>
      <c r="CI125" s="8"/>
      <c r="CJ125" s="8"/>
      <c r="CK125" s="8"/>
      <c r="CL125" s="8"/>
      <c r="CM125" s="8"/>
      <c r="CN125" s="8"/>
      <c r="CO125" s="8"/>
      <c r="CP125" s="8"/>
      <c r="CQ125" s="8"/>
      <c r="CR125" s="8"/>
    </row>
    <row r="126" spans="1:96" x14ac:dyDescent="0.25">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c r="AB126" s="8"/>
      <c r="AC126" s="8"/>
      <c r="AD126" s="8"/>
      <c r="AE126" s="8"/>
      <c r="AF126" s="8"/>
      <c r="AG126" s="8"/>
      <c r="AH126" s="8"/>
      <c r="AI126" s="8"/>
      <c r="AJ126" s="8"/>
      <c r="AK126" s="8"/>
      <c r="AL126" s="8"/>
      <c r="AM126" s="8"/>
      <c r="AN126" s="8"/>
      <c r="AO126" s="8"/>
      <c r="AP126" s="8"/>
      <c r="AQ126" s="8"/>
      <c r="AR126" s="8"/>
      <c r="AS126" s="8"/>
      <c r="AT126" s="8"/>
      <c r="AU126" s="8"/>
      <c r="AV126" s="8"/>
      <c r="AW126" s="8"/>
      <c r="AX126" s="8"/>
      <c r="AY126" s="8"/>
      <c r="AZ126" s="8"/>
      <c r="BA126" s="8"/>
      <c r="BB126" s="8"/>
      <c r="BC126" s="8"/>
      <c r="BD126" s="8"/>
      <c r="BE126" s="8"/>
      <c r="BF126" s="8"/>
      <c r="BG126" s="8"/>
      <c r="BH126" s="8"/>
      <c r="BI126" s="8"/>
      <c r="BJ126" s="8"/>
      <c r="BK126" s="8"/>
      <c r="BL126" s="8"/>
      <c r="BM126" s="8"/>
      <c r="BN126" s="8"/>
      <c r="BO126" s="8"/>
      <c r="BP126" s="8"/>
      <c r="BQ126" s="8"/>
      <c r="BR126" s="8"/>
      <c r="BS126" s="8"/>
      <c r="BT126" s="8"/>
      <c r="BU126" s="8"/>
      <c r="BV126" s="8"/>
      <c r="BW126" s="8"/>
      <c r="BX126" s="8"/>
      <c r="BY126" s="8"/>
      <c r="BZ126" s="8"/>
      <c r="CA126" s="8"/>
      <c r="CB126" s="8"/>
      <c r="CC126" s="8"/>
      <c r="CD126" s="8"/>
      <c r="CE126" s="8"/>
      <c r="CF126" s="8"/>
      <c r="CG126" s="8"/>
      <c r="CH126" s="8"/>
      <c r="CI126" s="8"/>
      <c r="CJ126" s="8"/>
      <c r="CK126" s="8"/>
      <c r="CL126" s="8"/>
      <c r="CM126" s="8"/>
      <c r="CN126" s="8"/>
      <c r="CO126" s="8"/>
      <c r="CP126" s="8"/>
      <c r="CQ126" s="8"/>
      <c r="CR126" s="8"/>
    </row>
    <row r="127" spans="1:96" x14ac:dyDescent="0.25">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c r="AB127" s="8"/>
      <c r="AC127" s="8"/>
      <c r="AD127" s="8"/>
      <c r="AE127" s="8"/>
      <c r="AF127" s="8"/>
      <c r="AG127" s="8"/>
      <c r="AH127" s="8"/>
      <c r="AI127" s="8"/>
      <c r="AJ127" s="8"/>
      <c r="AK127" s="8"/>
      <c r="AL127" s="8"/>
      <c r="AM127" s="8"/>
      <c r="AN127" s="8"/>
      <c r="AO127" s="8"/>
      <c r="AP127" s="8"/>
      <c r="AQ127" s="8"/>
      <c r="AR127" s="8"/>
      <c r="AS127" s="8"/>
      <c r="AT127" s="8"/>
      <c r="AU127" s="8"/>
      <c r="AV127" s="8"/>
      <c r="AW127" s="8"/>
      <c r="AX127" s="8"/>
      <c r="AY127" s="8"/>
      <c r="AZ127" s="8"/>
      <c r="BA127" s="8"/>
      <c r="BB127" s="8"/>
      <c r="BC127" s="8"/>
      <c r="BD127" s="8"/>
      <c r="BE127" s="8"/>
      <c r="BF127" s="8"/>
      <c r="BG127" s="8"/>
      <c r="BH127" s="8"/>
      <c r="BI127" s="8"/>
      <c r="BJ127" s="8"/>
      <c r="BK127" s="8"/>
      <c r="BL127" s="8"/>
      <c r="BM127" s="8"/>
      <c r="BN127" s="8"/>
      <c r="BO127" s="8"/>
      <c r="BP127" s="8"/>
      <c r="BQ127" s="8"/>
      <c r="BR127" s="8"/>
      <c r="BS127" s="8"/>
      <c r="BT127" s="8"/>
      <c r="BU127" s="8"/>
      <c r="BV127" s="8"/>
      <c r="BW127" s="8"/>
      <c r="BX127" s="8"/>
      <c r="BY127" s="8"/>
      <c r="BZ127" s="8"/>
      <c r="CA127" s="8"/>
      <c r="CB127" s="8"/>
      <c r="CC127" s="8"/>
      <c r="CD127" s="8"/>
      <c r="CE127" s="8"/>
      <c r="CF127" s="8"/>
      <c r="CG127" s="8"/>
      <c r="CH127" s="8"/>
      <c r="CI127" s="8"/>
      <c r="CJ127" s="8"/>
      <c r="CK127" s="8"/>
      <c r="CL127" s="8"/>
      <c r="CM127" s="8"/>
      <c r="CN127" s="8"/>
      <c r="CO127" s="8"/>
      <c r="CP127" s="8"/>
      <c r="CQ127" s="8"/>
      <c r="CR127" s="8"/>
    </row>
    <row r="128" spans="1:96" x14ac:dyDescent="0.25">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c r="AB128" s="8"/>
      <c r="AC128" s="8"/>
      <c r="AD128" s="8"/>
      <c r="AE128" s="8"/>
      <c r="AF128" s="8"/>
      <c r="AG128" s="8"/>
      <c r="AH128" s="8"/>
      <c r="AI128" s="8"/>
      <c r="AJ128" s="8"/>
      <c r="AK128" s="8"/>
      <c r="AL128" s="8"/>
      <c r="AM128" s="8"/>
      <c r="AN128" s="8"/>
      <c r="AO128" s="8"/>
      <c r="AP128" s="8"/>
      <c r="AQ128" s="8"/>
      <c r="AR128" s="8"/>
      <c r="AS128" s="8"/>
      <c r="AT128" s="8"/>
      <c r="AU128" s="8"/>
      <c r="AV128" s="8"/>
      <c r="AW128" s="8"/>
      <c r="AX128" s="8"/>
      <c r="AY128" s="8"/>
      <c r="AZ128" s="8"/>
      <c r="BA128" s="8"/>
      <c r="BB128" s="8"/>
      <c r="BC128" s="8"/>
      <c r="BD128" s="8"/>
      <c r="BE128" s="8"/>
      <c r="BF128" s="8"/>
      <c r="BG128" s="8"/>
      <c r="BH128" s="8"/>
      <c r="BI128" s="8"/>
      <c r="BJ128" s="8"/>
      <c r="BK128" s="8"/>
      <c r="BL128" s="8"/>
      <c r="BM128" s="8"/>
      <c r="BN128" s="8"/>
      <c r="BO128" s="8"/>
      <c r="BP128" s="8"/>
      <c r="BQ128" s="8"/>
      <c r="BR128" s="8"/>
      <c r="BS128" s="8"/>
      <c r="BT128" s="8"/>
      <c r="BU128" s="8"/>
      <c r="BV128" s="8"/>
      <c r="BW128" s="8"/>
      <c r="BX128" s="8"/>
      <c r="BY128" s="8"/>
      <c r="BZ128" s="8"/>
      <c r="CA128" s="8"/>
      <c r="CB128" s="8"/>
      <c r="CC128" s="8"/>
      <c r="CD128" s="8"/>
      <c r="CE128" s="8"/>
      <c r="CF128" s="8"/>
      <c r="CG128" s="8"/>
      <c r="CH128" s="8"/>
      <c r="CI128" s="8"/>
      <c r="CJ128" s="8"/>
      <c r="CK128" s="8"/>
      <c r="CL128" s="8"/>
      <c r="CM128" s="8"/>
      <c r="CN128" s="8"/>
      <c r="CO128" s="8"/>
      <c r="CP128" s="8"/>
      <c r="CQ128" s="8"/>
      <c r="CR128" s="8"/>
    </row>
    <row r="129" spans="1:96" x14ac:dyDescent="0.25">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c r="AB129" s="8"/>
      <c r="AC129" s="8"/>
      <c r="AD129" s="8"/>
      <c r="AE129" s="8"/>
      <c r="AF129" s="8"/>
      <c r="AG129" s="8"/>
      <c r="AH129" s="8"/>
      <c r="AI129" s="8"/>
      <c r="AJ129" s="8"/>
      <c r="AK129" s="8"/>
      <c r="AL129" s="8"/>
      <c r="AM129" s="8"/>
      <c r="AN129" s="8"/>
      <c r="AO129" s="8"/>
      <c r="AP129" s="8"/>
      <c r="AQ129" s="8"/>
      <c r="AR129" s="8"/>
      <c r="AS129" s="8"/>
      <c r="AT129" s="8"/>
      <c r="AU129" s="8"/>
      <c r="AV129" s="8"/>
      <c r="AW129" s="8"/>
      <c r="AX129" s="8"/>
      <c r="AY129" s="8"/>
      <c r="AZ129" s="8"/>
      <c r="BA129" s="8"/>
      <c r="BB129" s="8"/>
      <c r="BC129" s="8"/>
      <c r="BD129" s="8"/>
      <c r="BE129" s="8"/>
      <c r="BF129" s="8"/>
      <c r="BG129" s="8"/>
      <c r="BH129" s="8"/>
      <c r="BI129" s="8"/>
      <c r="BJ129" s="8"/>
      <c r="BK129" s="8"/>
      <c r="BL129" s="8"/>
      <c r="BM129" s="8"/>
      <c r="BN129" s="8"/>
      <c r="BO129" s="8"/>
      <c r="BP129" s="8"/>
      <c r="BQ129" s="8"/>
      <c r="BR129" s="8"/>
      <c r="BS129" s="8"/>
      <c r="BT129" s="8"/>
      <c r="BU129" s="8"/>
      <c r="BV129" s="8"/>
      <c r="BW129" s="8"/>
      <c r="BX129" s="8"/>
      <c r="BY129" s="8"/>
      <c r="BZ129" s="8"/>
      <c r="CA129" s="8"/>
      <c r="CB129" s="8"/>
      <c r="CC129" s="8"/>
      <c r="CD129" s="8"/>
      <c r="CE129" s="8"/>
      <c r="CF129" s="8"/>
      <c r="CG129" s="8"/>
      <c r="CH129" s="8"/>
      <c r="CI129" s="8"/>
      <c r="CJ129" s="8"/>
      <c r="CK129" s="8"/>
      <c r="CL129" s="8"/>
      <c r="CM129" s="8"/>
      <c r="CN129" s="8"/>
      <c r="CO129" s="8"/>
      <c r="CP129" s="8"/>
      <c r="CQ129" s="8"/>
      <c r="CR129" s="8"/>
    </row>
    <row r="130" spans="1:96" x14ac:dyDescent="0.25">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c r="AB130" s="8"/>
      <c r="AC130" s="8"/>
      <c r="AD130" s="8"/>
      <c r="AE130" s="8"/>
      <c r="AF130" s="8"/>
      <c r="AG130" s="8"/>
      <c r="AH130" s="8"/>
      <c r="AI130" s="8"/>
      <c r="AJ130" s="8"/>
      <c r="AK130" s="8"/>
      <c r="AL130" s="8"/>
      <c r="AM130" s="8"/>
      <c r="AN130" s="8"/>
      <c r="AO130" s="8"/>
      <c r="AP130" s="8"/>
      <c r="AQ130" s="8"/>
      <c r="AR130" s="8"/>
      <c r="AS130" s="8"/>
      <c r="AT130" s="8"/>
      <c r="AU130" s="8"/>
      <c r="AV130" s="8"/>
      <c r="AW130" s="8"/>
      <c r="AX130" s="8"/>
      <c r="AY130" s="8"/>
      <c r="AZ130" s="8"/>
      <c r="BA130" s="8"/>
      <c r="BB130" s="8"/>
      <c r="BC130" s="8"/>
      <c r="BD130" s="8"/>
      <c r="BE130" s="8"/>
      <c r="BF130" s="8"/>
      <c r="BG130" s="8"/>
      <c r="BH130" s="8"/>
      <c r="BI130" s="8"/>
      <c r="BJ130" s="8"/>
      <c r="BK130" s="8"/>
      <c r="BL130" s="8"/>
      <c r="BM130" s="8"/>
      <c r="BN130" s="8"/>
      <c r="BO130" s="8"/>
      <c r="BP130" s="8"/>
      <c r="BQ130" s="8"/>
      <c r="BR130" s="8"/>
      <c r="BS130" s="8"/>
      <c r="BT130" s="8"/>
      <c r="BU130" s="8"/>
      <c r="BV130" s="8"/>
      <c r="BW130" s="8"/>
      <c r="BX130" s="8"/>
      <c r="BY130" s="8"/>
      <c r="BZ130" s="8"/>
      <c r="CA130" s="8"/>
      <c r="CB130" s="8"/>
      <c r="CC130" s="8"/>
      <c r="CD130" s="8"/>
      <c r="CE130" s="8"/>
      <c r="CF130" s="8"/>
      <c r="CG130" s="8"/>
      <c r="CH130" s="8"/>
      <c r="CI130" s="8"/>
      <c r="CJ130" s="8"/>
      <c r="CK130" s="8"/>
      <c r="CL130" s="8"/>
      <c r="CM130" s="8"/>
      <c r="CN130" s="8"/>
      <c r="CO130" s="8"/>
      <c r="CP130" s="8"/>
      <c r="CQ130" s="8"/>
      <c r="CR130" s="8"/>
    </row>
    <row r="131" spans="1:96" x14ac:dyDescent="0.25">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c r="AB131" s="8"/>
      <c r="AC131" s="8"/>
      <c r="AD131" s="8"/>
      <c r="AE131" s="8"/>
      <c r="AF131" s="8"/>
      <c r="AG131" s="8"/>
      <c r="AH131" s="8"/>
      <c r="AI131" s="8"/>
      <c r="AJ131" s="8"/>
      <c r="AK131" s="8"/>
      <c r="AL131" s="8"/>
      <c r="AM131" s="8"/>
      <c r="AN131" s="8"/>
      <c r="AO131" s="8"/>
      <c r="AP131" s="8"/>
      <c r="AQ131" s="8"/>
      <c r="AR131" s="8"/>
      <c r="AS131" s="8"/>
      <c r="AT131" s="8"/>
      <c r="AU131" s="8"/>
      <c r="AV131" s="8"/>
      <c r="AW131" s="8"/>
      <c r="AX131" s="8"/>
      <c r="AY131" s="8"/>
      <c r="AZ131" s="8"/>
      <c r="BA131" s="8"/>
      <c r="BB131" s="8"/>
      <c r="BC131" s="8"/>
      <c r="BD131" s="8"/>
      <c r="BE131" s="8"/>
      <c r="BF131" s="8"/>
      <c r="BG131" s="8"/>
      <c r="BH131" s="8"/>
      <c r="BI131" s="8"/>
      <c r="BJ131" s="8"/>
      <c r="BK131" s="8"/>
      <c r="BL131" s="8"/>
      <c r="BM131" s="8"/>
      <c r="BN131" s="8"/>
      <c r="BO131" s="8"/>
      <c r="BP131" s="8"/>
      <c r="BQ131" s="8"/>
      <c r="BR131" s="8"/>
      <c r="BS131" s="8"/>
      <c r="BT131" s="8"/>
      <c r="BU131" s="8"/>
      <c r="BV131" s="8"/>
      <c r="BW131" s="8"/>
      <c r="BX131" s="8"/>
      <c r="BY131" s="8"/>
      <c r="BZ131" s="8"/>
      <c r="CA131" s="8"/>
      <c r="CB131" s="8"/>
      <c r="CC131" s="8"/>
      <c r="CD131" s="8"/>
      <c r="CE131" s="8"/>
      <c r="CF131" s="8"/>
      <c r="CG131" s="8"/>
      <c r="CH131" s="8"/>
      <c r="CI131" s="8"/>
      <c r="CJ131" s="8"/>
      <c r="CK131" s="8"/>
      <c r="CL131" s="8"/>
      <c r="CM131" s="8"/>
      <c r="CN131" s="8"/>
      <c r="CO131" s="8"/>
      <c r="CP131" s="8"/>
      <c r="CQ131" s="8"/>
      <c r="CR131" s="8"/>
    </row>
    <row r="132" spans="1:96" x14ac:dyDescent="0.25">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c r="AB132" s="8"/>
      <c r="AC132" s="8"/>
      <c r="AD132" s="8"/>
      <c r="AE132" s="8"/>
      <c r="AF132" s="8"/>
      <c r="AG132" s="8"/>
      <c r="AH132" s="8"/>
      <c r="AI132" s="8"/>
      <c r="AJ132" s="8"/>
      <c r="AK132" s="8"/>
      <c r="AL132" s="8"/>
      <c r="AM132" s="8"/>
      <c r="AN132" s="8"/>
      <c r="AO132" s="8"/>
      <c r="AP132" s="8"/>
      <c r="AQ132" s="8"/>
      <c r="AR132" s="8"/>
      <c r="AS132" s="8"/>
      <c r="AT132" s="8"/>
      <c r="AU132" s="8"/>
      <c r="AV132" s="8"/>
      <c r="AW132" s="8"/>
      <c r="AX132" s="8"/>
      <c r="AY132" s="8"/>
      <c r="AZ132" s="8"/>
      <c r="BA132" s="8"/>
      <c r="BB132" s="8"/>
      <c r="BC132" s="8"/>
      <c r="BD132" s="8"/>
      <c r="BE132" s="8"/>
      <c r="BF132" s="8"/>
      <c r="BG132" s="8"/>
      <c r="BH132" s="8"/>
      <c r="BI132" s="8"/>
      <c r="BJ132" s="8"/>
      <c r="BK132" s="8"/>
      <c r="BL132" s="8"/>
      <c r="BM132" s="8"/>
      <c r="BN132" s="8"/>
      <c r="BO132" s="8"/>
      <c r="BP132" s="8"/>
      <c r="BQ132" s="8"/>
      <c r="BR132" s="8"/>
      <c r="BS132" s="8"/>
      <c r="BT132" s="8"/>
      <c r="BU132" s="8"/>
      <c r="BV132" s="8"/>
      <c r="BW132" s="8"/>
      <c r="BX132" s="8"/>
      <c r="BY132" s="8"/>
      <c r="BZ132" s="8"/>
      <c r="CA132" s="8"/>
      <c r="CB132" s="8"/>
      <c r="CC132" s="8"/>
      <c r="CD132" s="8"/>
      <c r="CE132" s="8"/>
      <c r="CF132" s="8"/>
      <c r="CG132" s="8"/>
      <c r="CH132" s="8"/>
      <c r="CI132" s="8"/>
      <c r="CJ132" s="8"/>
      <c r="CK132" s="8"/>
      <c r="CL132" s="8"/>
      <c r="CM132" s="8"/>
      <c r="CN132" s="8"/>
      <c r="CO132" s="8"/>
      <c r="CP132" s="8"/>
      <c r="CQ132" s="8"/>
      <c r="CR132" s="8"/>
    </row>
    <row r="133" spans="1:96" x14ac:dyDescent="0.25">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c r="AA133" s="8"/>
      <c r="AB133" s="8"/>
      <c r="AC133" s="8"/>
      <c r="AD133" s="8"/>
      <c r="AE133" s="8"/>
      <c r="AF133" s="8"/>
      <c r="AG133" s="8"/>
      <c r="AH133" s="8"/>
      <c r="AI133" s="8"/>
      <c r="AJ133" s="8"/>
      <c r="AK133" s="8"/>
      <c r="AL133" s="8"/>
      <c r="AM133" s="8"/>
      <c r="AN133" s="8"/>
      <c r="AO133" s="8"/>
      <c r="AP133" s="8"/>
      <c r="AQ133" s="8"/>
      <c r="AR133" s="8"/>
      <c r="AS133" s="8"/>
      <c r="AT133" s="8"/>
      <c r="AU133" s="8"/>
      <c r="AV133" s="8"/>
      <c r="AW133" s="8"/>
      <c r="AX133" s="8"/>
      <c r="AY133" s="8"/>
      <c r="AZ133" s="8"/>
      <c r="BA133" s="8"/>
      <c r="BB133" s="8"/>
      <c r="BC133" s="8"/>
      <c r="BD133" s="8"/>
      <c r="BE133" s="8"/>
      <c r="BF133" s="8"/>
      <c r="BG133" s="8"/>
      <c r="BH133" s="8"/>
      <c r="BI133" s="8"/>
      <c r="BJ133" s="8"/>
      <c r="BK133" s="8"/>
      <c r="BL133" s="8"/>
      <c r="BM133" s="8"/>
      <c r="BN133" s="8"/>
      <c r="BO133" s="8"/>
      <c r="BP133" s="8"/>
      <c r="BQ133" s="8"/>
      <c r="BR133" s="8"/>
      <c r="BS133" s="8"/>
      <c r="BT133" s="8"/>
      <c r="BU133" s="8"/>
      <c r="BV133" s="8"/>
      <c r="BW133" s="8"/>
      <c r="BX133" s="8"/>
      <c r="BY133" s="8"/>
      <c r="BZ133" s="8"/>
      <c r="CA133" s="8"/>
      <c r="CB133" s="8"/>
      <c r="CC133" s="8"/>
      <c r="CD133" s="8"/>
      <c r="CE133" s="8"/>
      <c r="CF133" s="8"/>
      <c r="CG133" s="8"/>
      <c r="CH133" s="8"/>
      <c r="CI133" s="8"/>
      <c r="CJ133" s="8"/>
      <c r="CK133" s="8"/>
      <c r="CL133" s="8"/>
      <c r="CM133" s="8"/>
      <c r="CN133" s="8"/>
      <c r="CO133" s="8"/>
      <c r="CP133" s="8"/>
      <c r="CQ133" s="8"/>
      <c r="CR133" s="8"/>
    </row>
    <row r="134" spans="1:96" x14ac:dyDescent="0.25">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c r="AA134" s="8"/>
      <c r="AB134" s="8"/>
      <c r="AC134" s="8"/>
      <c r="AD134" s="8"/>
      <c r="AE134" s="8"/>
      <c r="AF134" s="8"/>
      <c r="AG134" s="8"/>
      <c r="AH134" s="8"/>
      <c r="AI134" s="8"/>
      <c r="AJ134" s="8"/>
      <c r="AK134" s="8"/>
      <c r="AL134" s="8"/>
      <c r="AM134" s="8"/>
      <c r="AN134" s="8"/>
      <c r="AO134" s="8"/>
      <c r="AP134" s="8"/>
      <c r="AQ134" s="8"/>
      <c r="AR134" s="8"/>
      <c r="AS134" s="8"/>
      <c r="AT134" s="8"/>
      <c r="AU134" s="8"/>
      <c r="AV134" s="8"/>
      <c r="AW134" s="8"/>
      <c r="AX134" s="8"/>
      <c r="AY134" s="8"/>
      <c r="AZ134" s="8"/>
      <c r="BA134" s="8"/>
      <c r="BB134" s="8"/>
      <c r="BC134" s="8"/>
      <c r="BD134" s="8"/>
      <c r="BE134" s="8"/>
      <c r="BF134" s="8"/>
      <c r="BG134" s="8"/>
      <c r="BH134" s="8"/>
      <c r="BI134" s="8"/>
      <c r="BJ134" s="8"/>
      <c r="BK134" s="8"/>
      <c r="BL134" s="8"/>
      <c r="BM134" s="8"/>
      <c r="BN134" s="8"/>
      <c r="BO134" s="8"/>
      <c r="BP134" s="8"/>
      <c r="BQ134" s="8"/>
      <c r="BR134" s="8"/>
      <c r="BS134" s="8"/>
      <c r="BT134" s="8"/>
      <c r="BU134" s="8"/>
      <c r="BV134" s="8"/>
      <c r="BW134" s="8"/>
      <c r="BX134" s="8"/>
      <c r="BY134" s="8"/>
      <c r="BZ134" s="8"/>
      <c r="CA134" s="8"/>
      <c r="CB134" s="8"/>
      <c r="CC134" s="8"/>
      <c r="CD134" s="8"/>
      <c r="CE134" s="8"/>
      <c r="CF134" s="8"/>
      <c r="CG134" s="8"/>
      <c r="CH134" s="8"/>
      <c r="CI134" s="8"/>
      <c r="CJ134" s="8"/>
      <c r="CK134" s="8"/>
      <c r="CL134" s="8"/>
      <c r="CM134" s="8"/>
      <c r="CN134" s="8"/>
      <c r="CO134" s="8"/>
      <c r="CP134" s="8"/>
      <c r="CQ134" s="8"/>
      <c r="CR134" s="8"/>
    </row>
    <row r="135" spans="1:96" x14ac:dyDescent="0.2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c r="AA135" s="8"/>
      <c r="AB135" s="8"/>
      <c r="AC135" s="8"/>
      <c r="AD135" s="8"/>
      <c r="AE135" s="8"/>
      <c r="AF135" s="8"/>
      <c r="AG135" s="8"/>
      <c r="AH135" s="8"/>
      <c r="AI135" s="8"/>
      <c r="AJ135" s="8"/>
      <c r="AK135" s="8"/>
      <c r="AL135" s="8"/>
      <c r="AM135" s="8"/>
      <c r="AN135" s="8"/>
      <c r="AO135" s="8"/>
      <c r="AP135" s="8"/>
      <c r="AQ135" s="8"/>
      <c r="AR135" s="8"/>
      <c r="AS135" s="8"/>
      <c r="AT135" s="8"/>
      <c r="AU135" s="8"/>
      <c r="AV135" s="8"/>
      <c r="AW135" s="8"/>
      <c r="AX135" s="8"/>
      <c r="AY135" s="8"/>
      <c r="AZ135" s="8"/>
      <c r="BA135" s="8"/>
      <c r="BB135" s="8"/>
      <c r="BC135" s="8"/>
      <c r="BD135" s="8"/>
      <c r="BE135" s="8"/>
      <c r="BF135" s="8"/>
      <c r="BG135" s="8"/>
      <c r="BH135" s="8"/>
      <c r="BI135" s="8"/>
      <c r="BJ135" s="8"/>
      <c r="BK135" s="8"/>
      <c r="BL135" s="8"/>
      <c r="BM135" s="8"/>
      <c r="BN135" s="8"/>
      <c r="BO135" s="8"/>
      <c r="BP135" s="8"/>
      <c r="BQ135" s="8"/>
      <c r="BR135" s="8"/>
      <c r="BS135" s="8"/>
      <c r="BT135" s="8"/>
      <c r="BU135" s="8"/>
      <c r="BV135" s="8"/>
      <c r="BW135" s="8"/>
      <c r="BX135" s="8"/>
      <c r="BY135" s="8"/>
      <c r="BZ135" s="8"/>
      <c r="CA135" s="8"/>
      <c r="CB135" s="8"/>
      <c r="CC135" s="8"/>
      <c r="CD135" s="8"/>
      <c r="CE135" s="8"/>
      <c r="CF135" s="8"/>
      <c r="CG135" s="8"/>
      <c r="CH135" s="8"/>
      <c r="CI135" s="8"/>
      <c r="CJ135" s="8"/>
      <c r="CK135" s="8"/>
      <c r="CL135" s="8"/>
      <c r="CM135" s="8"/>
      <c r="CN135" s="8"/>
      <c r="CO135" s="8"/>
      <c r="CP135" s="8"/>
      <c r="CQ135" s="8"/>
      <c r="CR135" s="8"/>
    </row>
    <row r="136" spans="1:96" x14ac:dyDescent="0.25">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c r="AA136" s="8"/>
      <c r="AB136" s="8"/>
      <c r="AC136" s="8"/>
      <c r="AD136" s="8"/>
      <c r="AE136" s="8"/>
      <c r="AF136" s="8"/>
      <c r="AG136" s="8"/>
      <c r="AH136" s="8"/>
      <c r="AI136" s="8"/>
      <c r="AJ136" s="8"/>
      <c r="AK136" s="8"/>
      <c r="AL136" s="8"/>
      <c r="AM136" s="8"/>
      <c r="AN136" s="8"/>
      <c r="AO136" s="8"/>
      <c r="AP136" s="8"/>
      <c r="AQ136" s="8"/>
      <c r="AR136" s="8"/>
      <c r="AS136" s="8"/>
      <c r="AT136" s="8"/>
      <c r="AU136" s="8"/>
      <c r="AV136" s="8"/>
      <c r="AW136" s="8"/>
      <c r="AX136" s="8"/>
      <c r="AY136" s="8"/>
      <c r="AZ136" s="8"/>
      <c r="BA136" s="8"/>
      <c r="BB136" s="8"/>
      <c r="BC136" s="8"/>
      <c r="BD136" s="8"/>
      <c r="BE136" s="8"/>
      <c r="BF136" s="8"/>
      <c r="BG136" s="8"/>
      <c r="BH136" s="8"/>
      <c r="BI136" s="8"/>
      <c r="BJ136" s="8"/>
      <c r="BK136" s="8"/>
      <c r="BL136" s="8"/>
      <c r="BM136" s="8"/>
      <c r="BN136" s="8"/>
      <c r="BO136" s="8"/>
      <c r="BP136" s="8"/>
      <c r="BQ136" s="8"/>
      <c r="BR136" s="8"/>
      <c r="BS136" s="8"/>
      <c r="BT136" s="8"/>
      <c r="BU136" s="8"/>
      <c r="BV136" s="8"/>
      <c r="BW136" s="8"/>
      <c r="BX136" s="8"/>
      <c r="BY136" s="8"/>
      <c r="BZ136" s="8"/>
      <c r="CA136" s="8"/>
      <c r="CB136" s="8"/>
      <c r="CC136" s="8"/>
      <c r="CD136" s="8"/>
      <c r="CE136" s="8"/>
      <c r="CF136" s="8"/>
      <c r="CG136" s="8"/>
      <c r="CH136" s="8"/>
      <c r="CI136" s="8"/>
      <c r="CJ136" s="8"/>
      <c r="CK136" s="8"/>
      <c r="CL136" s="8"/>
      <c r="CM136" s="8"/>
      <c r="CN136" s="8"/>
      <c r="CO136" s="8"/>
      <c r="CP136" s="8"/>
      <c r="CQ136" s="8"/>
      <c r="CR136" s="8"/>
    </row>
    <row r="137" spans="1:96" x14ac:dyDescent="0.25">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c r="AA137" s="8"/>
      <c r="AB137" s="8"/>
      <c r="AC137" s="8"/>
      <c r="AD137" s="8"/>
      <c r="AE137" s="8"/>
      <c r="AF137" s="8"/>
      <c r="AG137" s="8"/>
      <c r="AH137" s="8"/>
      <c r="AI137" s="8"/>
      <c r="AJ137" s="8"/>
      <c r="AK137" s="8"/>
      <c r="AL137" s="8"/>
      <c r="AM137" s="8"/>
      <c r="AN137" s="8"/>
      <c r="AO137" s="8"/>
      <c r="AP137" s="8"/>
      <c r="AQ137" s="8"/>
      <c r="AR137" s="8"/>
      <c r="AS137" s="8"/>
      <c r="AT137" s="8"/>
      <c r="AU137" s="8"/>
      <c r="AV137" s="8"/>
      <c r="AW137" s="8"/>
      <c r="AX137" s="8"/>
      <c r="AY137" s="8"/>
      <c r="AZ137" s="8"/>
      <c r="BA137" s="8"/>
      <c r="BB137" s="8"/>
      <c r="BC137" s="8"/>
      <c r="BD137" s="8"/>
      <c r="BE137" s="8"/>
      <c r="BF137" s="8"/>
      <c r="BG137" s="8"/>
      <c r="BH137" s="8"/>
      <c r="BI137" s="8"/>
      <c r="BJ137" s="8"/>
      <c r="BK137" s="8"/>
      <c r="BL137" s="8"/>
      <c r="BM137" s="8"/>
      <c r="BN137" s="8"/>
      <c r="BO137" s="8"/>
      <c r="BP137" s="8"/>
      <c r="BQ137" s="8"/>
      <c r="BR137" s="8"/>
      <c r="BS137" s="8"/>
      <c r="BT137" s="8"/>
      <c r="BU137" s="8"/>
      <c r="BV137" s="8"/>
      <c r="BW137" s="8"/>
      <c r="BX137" s="8"/>
      <c r="BY137" s="8"/>
      <c r="BZ137" s="8"/>
      <c r="CA137" s="8"/>
      <c r="CB137" s="8"/>
      <c r="CC137" s="8"/>
      <c r="CD137" s="8"/>
      <c r="CE137" s="8"/>
      <c r="CF137" s="8"/>
      <c r="CG137" s="8"/>
      <c r="CH137" s="8"/>
      <c r="CI137" s="8"/>
      <c r="CJ137" s="8"/>
      <c r="CK137" s="8"/>
      <c r="CL137" s="8"/>
      <c r="CM137" s="8"/>
      <c r="CN137" s="8"/>
      <c r="CO137" s="8"/>
      <c r="CP137" s="8"/>
      <c r="CQ137" s="8"/>
      <c r="CR137" s="8"/>
    </row>
    <row r="138" spans="1:96" x14ac:dyDescent="0.25">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c r="AA138" s="8"/>
      <c r="AB138" s="8"/>
      <c r="AC138" s="8"/>
      <c r="AD138" s="8"/>
      <c r="AE138" s="8"/>
      <c r="AF138" s="8"/>
      <c r="AG138" s="8"/>
      <c r="AH138" s="8"/>
      <c r="AI138" s="8"/>
      <c r="AJ138" s="8"/>
      <c r="AK138" s="8"/>
      <c r="AL138" s="8"/>
      <c r="AM138" s="8"/>
      <c r="AN138" s="8"/>
      <c r="AO138" s="8"/>
      <c r="AP138" s="8"/>
      <c r="AQ138" s="8"/>
      <c r="AR138" s="8"/>
      <c r="AS138" s="8"/>
      <c r="AT138" s="8"/>
      <c r="AU138" s="8"/>
      <c r="AV138" s="8"/>
      <c r="AW138" s="8"/>
      <c r="AX138" s="8"/>
      <c r="AY138" s="8"/>
      <c r="AZ138" s="8"/>
      <c r="BA138" s="8"/>
      <c r="BB138" s="8"/>
      <c r="BC138" s="8"/>
      <c r="BD138" s="8"/>
      <c r="BE138" s="8"/>
      <c r="BF138" s="8"/>
      <c r="BG138" s="8"/>
      <c r="BH138" s="8"/>
      <c r="BI138" s="8"/>
      <c r="BJ138" s="8"/>
      <c r="BK138" s="8"/>
      <c r="BL138" s="8"/>
      <c r="BM138" s="8"/>
      <c r="BN138" s="8"/>
      <c r="BO138" s="8"/>
      <c r="BP138" s="8"/>
      <c r="BQ138" s="8"/>
      <c r="BR138" s="8"/>
      <c r="BS138" s="8"/>
      <c r="BT138" s="8"/>
      <c r="BU138" s="8"/>
      <c r="BV138" s="8"/>
      <c r="BW138" s="8"/>
      <c r="BX138" s="8"/>
      <c r="BY138" s="8"/>
      <c r="BZ138" s="8"/>
      <c r="CA138" s="8"/>
      <c r="CB138" s="8"/>
      <c r="CC138" s="8"/>
      <c r="CD138" s="8"/>
      <c r="CE138" s="8"/>
      <c r="CF138" s="8"/>
      <c r="CG138" s="8"/>
      <c r="CH138" s="8"/>
      <c r="CI138" s="8"/>
      <c r="CJ138" s="8"/>
      <c r="CK138" s="8"/>
      <c r="CL138" s="8"/>
      <c r="CM138" s="8"/>
      <c r="CN138" s="8"/>
      <c r="CO138" s="8"/>
      <c r="CP138" s="8"/>
      <c r="CQ138" s="8"/>
      <c r="CR138" s="8"/>
    </row>
    <row r="139" spans="1:96" x14ac:dyDescent="0.25">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c r="AB139" s="8"/>
      <c r="AC139" s="8"/>
      <c r="AD139" s="8"/>
      <c r="AE139" s="8"/>
      <c r="AF139" s="8"/>
      <c r="AG139" s="8"/>
      <c r="AH139" s="8"/>
      <c r="AI139" s="8"/>
      <c r="AJ139" s="8"/>
      <c r="AK139" s="8"/>
      <c r="AL139" s="8"/>
      <c r="AM139" s="8"/>
      <c r="AN139" s="8"/>
      <c r="AO139" s="8"/>
      <c r="AP139" s="8"/>
      <c r="AQ139" s="8"/>
      <c r="AR139" s="8"/>
      <c r="AS139" s="8"/>
      <c r="AT139" s="8"/>
      <c r="AU139" s="8"/>
      <c r="AV139" s="8"/>
      <c r="AW139" s="8"/>
      <c r="AX139" s="8"/>
      <c r="AY139" s="8"/>
      <c r="AZ139" s="8"/>
      <c r="BA139" s="8"/>
      <c r="BB139" s="8"/>
      <c r="BC139" s="8"/>
      <c r="BD139" s="8"/>
      <c r="BE139" s="8"/>
      <c r="BF139" s="8"/>
      <c r="BG139" s="8"/>
      <c r="BH139" s="8"/>
      <c r="BI139" s="8"/>
      <c r="BJ139" s="8"/>
      <c r="BK139" s="8"/>
      <c r="BL139" s="8"/>
      <c r="BM139" s="8"/>
      <c r="BN139" s="8"/>
      <c r="BO139" s="8"/>
      <c r="BP139" s="8"/>
      <c r="BQ139" s="8"/>
      <c r="BR139" s="8"/>
      <c r="BS139" s="8"/>
      <c r="BT139" s="8"/>
      <c r="BU139" s="8"/>
      <c r="BV139" s="8"/>
      <c r="BW139" s="8"/>
      <c r="BX139" s="8"/>
      <c r="BY139" s="8"/>
      <c r="BZ139" s="8"/>
      <c r="CA139" s="8"/>
      <c r="CB139" s="8"/>
      <c r="CC139" s="8"/>
      <c r="CD139" s="8"/>
      <c r="CE139" s="8"/>
      <c r="CF139" s="8"/>
      <c r="CG139" s="8"/>
      <c r="CH139" s="8"/>
      <c r="CI139" s="8"/>
      <c r="CJ139" s="8"/>
      <c r="CK139" s="8"/>
      <c r="CL139" s="8"/>
      <c r="CM139" s="8"/>
      <c r="CN139" s="8"/>
      <c r="CO139" s="8"/>
      <c r="CP139" s="8"/>
      <c r="CQ139" s="8"/>
      <c r="CR139" s="8"/>
    </row>
    <row r="140" spans="1:96" x14ac:dyDescent="0.25">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c r="AB140" s="8"/>
      <c r="AC140" s="8"/>
      <c r="AD140" s="8"/>
      <c r="AE140" s="8"/>
      <c r="AF140" s="8"/>
      <c r="AG140" s="8"/>
      <c r="AH140" s="8"/>
      <c r="AI140" s="8"/>
      <c r="AJ140" s="8"/>
      <c r="AK140" s="8"/>
      <c r="AL140" s="8"/>
      <c r="AM140" s="8"/>
      <c r="AN140" s="8"/>
      <c r="AO140" s="8"/>
      <c r="AP140" s="8"/>
      <c r="AQ140" s="8"/>
      <c r="AR140" s="8"/>
      <c r="AS140" s="8"/>
      <c r="AT140" s="8"/>
      <c r="AU140" s="8"/>
      <c r="AV140" s="8"/>
      <c r="AW140" s="8"/>
      <c r="AX140" s="8"/>
      <c r="AY140" s="8"/>
      <c r="AZ140" s="8"/>
      <c r="BA140" s="8"/>
      <c r="BB140" s="8"/>
      <c r="BC140" s="8"/>
      <c r="BD140" s="8"/>
      <c r="BE140" s="8"/>
      <c r="BF140" s="8"/>
      <c r="BG140" s="8"/>
      <c r="BH140" s="8"/>
      <c r="BI140" s="8"/>
      <c r="BJ140" s="8"/>
      <c r="BK140" s="8"/>
      <c r="BL140" s="8"/>
      <c r="BM140" s="8"/>
      <c r="BN140" s="8"/>
      <c r="BO140" s="8"/>
      <c r="BP140" s="8"/>
      <c r="BQ140" s="8"/>
      <c r="BR140" s="8"/>
      <c r="BS140" s="8"/>
      <c r="BT140" s="8"/>
      <c r="BU140" s="8"/>
      <c r="BV140" s="8"/>
      <c r="BW140" s="8"/>
      <c r="BX140" s="8"/>
      <c r="BY140" s="8"/>
      <c r="BZ140" s="8"/>
      <c r="CA140" s="8"/>
      <c r="CB140" s="8"/>
      <c r="CC140" s="8"/>
      <c r="CD140" s="8"/>
      <c r="CE140" s="8"/>
      <c r="CF140" s="8"/>
      <c r="CG140" s="8"/>
      <c r="CH140" s="8"/>
      <c r="CI140" s="8"/>
      <c r="CJ140" s="8"/>
      <c r="CK140" s="8"/>
      <c r="CL140" s="8"/>
      <c r="CM140" s="8"/>
      <c r="CN140" s="8"/>
      <c r="CO140" s="8"/>
      <c r="CP140" s="8"/>
      <c r="CQ140" s="8"/>
      <c r="CR140" s="8"/>
    </row>
    <row r="141" spans="1:96" x14ac:dyDescent="0.25">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c r="AB141" s="8"/>
      <c r="AC141" s="8"/>
      <c r="AD141" s="8"/>
      <c r="AE141" s="8"/>
      <c r="AF141" s="8"/>
      <c r="AG141" s="8"/>
      <c r="AH141" s="8"/>
      <c r="AI141" s="8"/>
      <c r="AJ141" s="8"/>
      <c r="AK141" s="8"/>
      <c r="AL141" s="8"/>
      <c r="AM141" s="8"/>
      <c r="AN141" s="8"/>
      <c r="AO141" s="8"/>
      <c r="AP141" s="8"/>
      <c r="AQ141" s="8"/>
      <c r="AR141" s="8"/>
      <c r="AS141" s="8"/>
      <c r="AT141" s="8"/>
      <c r="AU141" s="8"/>
      <c r="AV141" s="8"/>
      <c r="AW141" s="8"/>
      <c r="AX141" s="8"/>
      <c r="AY141" s="8"/>
      <c r="AZ141" s="8"/>
      <c r="BA141" s="8"/>
      <c r="BB141" s="8"/>
      <c r="BC141" s="8"/>
      <c r="BD141" s="8"/>
      <c r="BE141" s="8"/>
      <c r="BF141" s="8"/>
      <c r="BG141" s="8"/>
      <c r="BH141" s="8"/>
      <c r="BI141" s="8"/>
      <c r="BJ141" s="8"/>
      <c r="BK141" s="8"/>
      <c r="BL141" s="8"/>
      <c r="BM141" s="8"/>
      <c r="BN141" s="8"/>
      <c r="BO141" s="8"/>
      <c r="BP141" s="8"/>
      <c r="BQ141" s="8"/>
      <c r="BR141" s="8"/>
      <c r="BS141" s="8"/>
      <c r="BT141" s="8"/>
      <c r="BU141" s="8"/>
      <c r="BV141" s="8"/>
      <c r="BW141" s="8"/>
      <c r="BX141" s="8"/>
      <c r="BY141" s="8"/>
      <c r="BZ141" s="8"/>
      <c r="CA141" s="8"/>
      <c r="CB141" s="8"/>
      <c r="CC141" s="8"/>
      <c r="CD141" s="8"/>
      <c r="CE141" s="8"/>
      <c r="CF141" s="8"/>
      <c r="CG141" s="8"/>
      <c r="CH141" s="8"/>
      <c r="CI141" s="8"/>
      <c r="CJ141" s="8"/>
      <c r="CK141" s="8"/>
      <c r="CL141" s="8"/>
      <c r="CM141" s="8"/>
      <c r="CN141" s="8"/>
      <c r="CO141" s="8"/>
      <c r="CP141" s="8"/>
      <c r="CQ141" s="8"/>
      <c r="CR141" s="8"/>
    </row>
    <row r="142" spans="1:96" x14ac:dyDescent="0.25">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c r="AB142" s="8"/>
      <c r="AC142" s="8"/>
      <c r="AD142" s="8"/>
      <c r="AE142" s="8"/>
      <c r="AF142" s="8"/>
      <c r="AG142" s="8"/>
      <c r="AH142" s="8"/>
      <c r="AI142" s="8"/>
      <c r="AJ142" s="8"/>
      <c r="AK142" s="8"/>
      <c r="AL142" s="8"/>
      <c r="AM142" s="8"/>
      <c r="AN142" s="8"/>
      <c r="AO142" s="8"/>
      <c r="AP142" s="8"/>
      <c r="AQ142" s="8"/>
      <c r="AR142" s="8"/>
      <c r="AS142" s="8"/>
      <c r="AT142" s="8"/>
      <c r="AU142" s="8"/>
      <c r="AV142" s="8"/>
      <c r="AW142" s="8"/>
      <c r="AX142" s="8"/>
      <c r="AY142" s="8"/>
      <c r="AZ142" s="8"/>
      <c r="BA142" s="8"/>
      <c r="BB142" s="8"/>
      <c r="BC142" s="8"/>
      <c r="BD142" s="8"/>
      <c r="BE142" s="8"/>
      <c r="BF142" s="8"/>
      <c r="BG142" s="8"/>
      <c r="BH142" s="8"/>
      <c r="BI142" s="8"/>
      <c r="BJ142" s="8"/>
      <c r="BK142" s="8"/>
      <c r="BL142" s="8"/>
      <c r="BM142" s="8"/>
      <c r="BN142" s="8"/>
      <c r="BO142" s="8"/>
      <c r="BP142" s="8"/>
      <c r="BQ142" s="8"/>
      <c r="BR142" s="8"/>
      <c r="BS142" s="8"/>
      <c r="BT142" s="8"/>
      <c r="BU142" s="8"/>
      <c r="BV142" s="8"/>
      <c r="BW142" s="8"/>
      <c r="BX142" s="8"/>
      <c r="BY142" s="8"/>
      <c r="BZ142" s="8"/>
      <c r="CA142" s="8"/>
      <c r="CB142" s="8"/>
      <c r="CC142" s="8"/>
      <c r="CD142" s="8"/>
      <c r="CE142" s="8"/>
      <c r="CF142" s="8"/>
      <c r="CG142" s="8"/>
      <c r="CH142" s="8"/>
      <c r="CI142" s="8"/>
      <c r="CJ142" s="8"/>
      <c r="CK142" s="8"/>
      <c r="CL142" s="8"/>
      <c r="CM142" s="8"/>
      <c r="CN142" s="8"/>
      <c r="CO142" s="8"/>
      <c r="CP142" s="8"/>
      <c r="CQ142" s="8"/>
      <c r="CR142" s="8"/>
    </row>
    <row r="143" spans="1:96" x14ac:dyDescent="0.25">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c r="AB143" s="8"/>
      <c r="AC143" s="8"/>
      <c r="AD143" s="8"/>
      <c r="AE143" s="8"/>
      <c r="AF143" s="8"/>
      <c r="AG143" s="8"/>
      <c r="AH143" s="8"/>
      <c r="AI143" s="8"/>
      <c r="AJ143" s="8"/>
      <c r="AK143" s="8"/>
      <c r="AL143" s="8"/>
      <c r="AM143" s="8"/>
      <c r="AN143" s="8"/>
      <c r="AO143" s="8"/>
      <c r="AP143" s="8"/>
      <c r="AQ143" s="8"/>
      <c r="AR143" s="8"/>
      <c r="AS143" s="8"/>
      <c r="AT143" s="8"/>
      <c r="AU143" s="8"/>
      <c r="AV143" s="8"/>
      <c r="AW143" s="8"/>
      <c r="AX143" s="8"/>
      <c r="AY143" s="8"/>
      <c r="AZ143" s="8"/>
      <c r="BA143" s="8"/>
      <c r="BB143" s="8"/>
      <c r="BC143" s="8"/>
      <c r="BD143" s="8"/>
      <c r="BE143" s="8"/>
      <c r="BF143" s="8"/>
      <c r="BG143" s="8"/>
      <c r="BH143" s="8"/>
      <c r="BI143" s="8"/>
      <c r="BJ143" s="8"/>
      <c r="BK143" s="8"/>
      <c r="BL143" s="8"/>
      <c r="BM143" s="8"/>
      <c r="BN143" s="8"/>
      <c r="BO143" s="8"/>
      <c r="BP143" s="8"/>
      <c r="BQ143" s="8"/>
      <c r="BR143" s="8"/>
      <c r="BS143" s="8"/>
      <c r="BT143" s="8"/>
      <c r="BU143" s="8"/>
      <c r="BV143" s="8"/>
      <c r="BW143" s="8"/>
      <c r="BX143" s="8"/>
      <c r="BY143" s="8"/>
      <c r="BZ143" s="8"/>
      <c r="CA143" s="8"/>
      <c r="CB143" s="8"/>
      <c r="CC143" s="8"/>
      <c r="CD143" s="8"/>
      <c r="CE143" s="8"/>
      <c r="CF143" s="8"/>
      <c r="CG143" s="8"/>
      <c r="CH143" s="8"/>
      <c r="CI143" s="8"/>
      <c r="CJ143" s="8"/>
      <c r="CK143" s="8"/>
      <c r="CL143" s="8"/>
      <c r="CM143" s="8"/>
      <c r="CN143" s="8"/>
      <c r="CO143" s="8"/>
      <c r="CP143" s="8"/>
      <c r="CQ143" s="8"/>
      <c r="CR143" s="8"/>
    </row>
    <row r="144" spans="1:96" x14ac:dyDescent="0.25">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c r="AB144" s="8"/>
      <c r="AC144" s="8"/>
      <c r="AD144" s="8"/>
      <c r="AE144" s="8"/>
      <c r="AF144" s="8"/>
      <c r="AG144" s="8"/>
      <c r="AH144" s="8"/>
      <c r="AI144" s="8"/>
      <c r="AJ144" s="8"/>
      <c r="AK144" s="8"/>
      <c r="AL144" s="8"/>
      <c r="AM144" s="8"/>
      <c r="AN144" s="8"/>
      <c r="AO144" s="8"/>
      <c r="AP144" s="8"/>
      <c r="AQ144" s="8"/>
      <c r="AR144" s="8"/>
      <c r="AS144" s="8"/>
      <c r="AT144" s="8"/>
      <c r="AU144" s="8"/>
      <c r="AV144" s="8"/>
      <c r="AW144" s="8"/>
      <c r="AX144" s="8"/>
      <c r="AY144" s="8"/>
      <c r="AZ144" s="8"/>
      <c r="BA144" s="8"/>
      <c r="BB144" s="8"/>
      <c r="BC144" s="8"/>
      <c r="BD144" s="8"/>
      <c r="BE144" s="8"/>
      <c r="BF144" s="8"/>
      <c r="BG144" s="8"/>
      <c r="BH144" s="8"/>
      <c r="BI144" s="8"/>
      <c r="BJ144" s="8"/>
      <c r="BK144" s="8"/>
      <c r="BL144" s="8"/>
      <c r="BM144" s="8"/>
      <c r="BN144" s="8"/>
      <c r="BO144" s="8"/>
      <c r="BP144" s="8"/>
      <c r="BQ144" s="8"/>
      <c r="BR144" s="8"/>
      <c r="BS144" s="8"/>
      <c r="BT144" s="8"/>
      <c r="BU144" s="8"/>
      <c r="BV144" s="8"/>
      <c r="BW144" s="8"/>
      <c r="BX144" s="8"/>
      <c r="BY144" s="8"/>
      <c r="BZ144" s="8"/>
      <c r="CA144" s="8"/>
      <c r="CB144" s="8"/>
      <c r="CC144" s="8"/>
      <c r="CD144" s="8"/>
      <c r="CE144" s="8"/>
      <c r="CF144" s="8"/>
      <c r="CG144" s="8"/>
      <c r="CH144" s="8"/>
      <c r="CI144" s="8"/>
      <c r="CJ144" s="8"/>
      <c r="CK144" s="8"/>
      <c r="CL144" s="8"/>
      <c r="CM144" s="8"/>
      <c r="CN144" s="8"/>
      <c r="CO144" s="8"/>
      <c r="CP144" s="8"/>
      <c r="CQ144" s="8"/>
      <c r="CR144" s="8"/>
    </row>
    <row r="145" spans="1:96" x14ac:dyDescent="0.2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c r="AB145" s="8"/>
      <c r="AC145" s="8"/>
      <c r="AD145" s="8"/>
      <c r="AE145" s="8"/>
      <c r="AF145" s="8"/>
      <c r="AG145" s="8"/>
      <c r="AH145" s="8"/>
      <c r="AI145" s="8"/>
      <c r="AJ145" s="8"/>
      <c r="AK145" s="8"/>
      <c r="AL145" s="8"/>
      <c r="AM145" s="8"/>
      <c r="AN145" s="8"/>
      <c r="AO145" s="8"/>
      <c r="AP145" s="8"/>
      <c r="AQ145" s="8"/>
      <c r="AR145" s="8"/>
      <c r="AS145" s="8"/>
      <c r="AT145" s="8"/>
      <c r="AU145" s="8"/>
      <c r="AV145" s="8"/>
      <c r="AW145" s="8"/>
      <c r="AX145" s="8"/>
      <c r="AY145" s="8"/>
      <c r="AZ145" s="8"/>
      <c r="BA145" s="8"/>
      <c r="BB145" s="8"/>
      <c r="BC145" s="8"/>
      <c r="BD145" s="8"/>
      <c r="BE145" s="8"/>
      <c r="BF145" s="8"/>
      <c r="BG145" s="8"/>
      <c r="BH145" s="8"/>
      <c r="BI145" s="8"/>
      <c r="BJ145" s="8"/>
      <c r="BK145" s="8"/>
      <c r="BL145" s="8"/>
      <c r="BM145" s="8"/>
      <c r="BN145" s="8"/>
      <c r="BO145" s="8"/>
      <c r="BP145" s="8"/>
      <c r="BQ145" s="8"/>
      <c r="BR145" s="8"/>
      <c r="BS145" s="8"/>
      <c r="BT145" s="8"/>
      <c r="BU145" s="8"/>
      <c r="BV145" s="8"/>
      <c r="BW145" s="8"/>
      <c r="BX145" s="8"/>
      <c r="BY145" s="8"/>
      <c r="BZ145" s="8"/>
      <c r="CA145" s="8"/>
      <c r="CB145" s="8"/>
      <c r="CC145" s="8"/>
      <c r="CD145" s="8"/>
      <c r="CE145" s="8"/>
      <c r="CF145" s="8"/>
      <c r="CG145" s="8"/>
      <c r="CH145" s="8"/>
      <c r="CI145" s="8"/>
      <c r="CJ145" s="8"/>
      <c r="CK145" s="8"/>
      <c r="CL145" s="8"/>
      <c r="CM145" s="8"/>
      <c r="CN145" s="8"/>
      <c r="CO145" s="8"/>
      <c r="CP145" s="8"/>
      <c r="CQ145" s="8"/>
      <c r="CR145" s="8"/>
    </row>
    <row r="146" spans="1:96" x14ac:dyDescent="0.25">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c r="AB146" s="8"/>
      <c r="AC146" s="8"/>
      <c r="AD146" s="8"/>
      <c r="AE146" s="8"/>
      <c r="AF146" s="8"/>
      <c r="AG146" s="8"/>
      <c r="AH146" s="8"/>
      <c r="AI146" s="8"/>
      <c r="AJ146" s="8"/>
      <c r="AK146" s="8"/>
      <c r="AL146" s="8"/>
      <c r="AM146" s="8"/>
      <c r="AN146" s="8"/>
      <c r="AO146" s="8"/>
      <c r="AP146" s="8"/>
      <c r="AQ146" s="8"/>
      <c r="AR146" s="8"/>
      <c r="AS146" s="8"/>
      <c r="AT146" s="8"/>
      <c r="AU146" s="8"/>
      <c r="AV146" s="8"/>
      <c r="AW146" s="8"/>
      <c r="AX146" s="8"/>
      <c r="AY146" s="8"/>
      <c r="AZ146" s="8"/>
      <c r="BA146" s="8"/>
      <c r="BB146" s="8"/>
      <c r="BC146" s="8"/>
      <c r="BD146" s="8"/>
      <c r="BE146" s="8"/>
      <c r="BF146" s="8"/>
      <c r="BG146" s="8"/>
      <c r="BH146" s="8"/>
      <c r="BI146" s="8"/>
      <c r="BJ146" s="8"/>
      <c r="BK146" s="8"/>
      <c r="BL146" s="8"/>
      <c r="BM146" s="8"/>
      <c r="BN146" s="8"/>
      <c r="BO146" s="8"/>
      <c r="BP146" s="8"/>
      <c r="BQ146" s="8"/>
      <c r="BR146" s="8"/>
      <c r="BS146" s="8"/>
      <c r="BT146" s="8"/>
      <c r="BU146" s="8"/>
      <c r="BV146" s="8"/>
      <c r="BW146" s="8"/>
      <c r="BX146" s="8"/>
      <c r="BY146" s="8"/>
      <c r="BZ146" s="8"/>
      <c r="CA146" s="8"/>
      <c r="CB146" s="8"/>
      <c r="CC146" s="8"/>
      <c r="CD146" s="8"/>
      <c r="CE146" s="8"/>
      <c r="CF146" s="8"/>
      <c r="CG146" s="8"/>
      <c r="CH146" s="8"/>
      <c r="CI146" s="8"/>
      <c r="CJ146" s="8"/>
      <c r="CK146" s="8"/>
      <c r="CL146" s="8"/>
      <c r="CM146" s="8"/>
      <c r="CN146" s="8"/>
      <c r="CO146" s="8"/>
      <c r="CP146" s="8"/>
      <c r="CQ146" s="8"/>
      <c r="CR146" s="8"/>
    </row>
    <row r="147" spans="1:96" x14ac:dyDescent="0.25">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c r="AB147" s="8"/>
      <c r="AC147" s="8"/>
      <c r="AD147" s="8"/>
      <c r="AE147" s="8"/>
      <c r="AF147" s="8"/>
      <c r="AG147" s="8"/>
      <c r="AH147" s="8"/>
      <c r="AI147" s="8"/>
      <c r="AJ147" s="8"/>
      <c r="AK147" s="8"/>
      <c r="AL147" s="8"/>
      <c r="AM147" s="8"/>
      <c r="AN147" s="8"/>
      <c r="AO147" s="8"/>
      <c r="AP147" s="8"/>
      <c r="AQ147" s="8"/>
      <c r="AR147" s="8"/>
      <c r="AS147" s="8"/>
      <c r="AT147" s="8"/>
      <c r="AU147" s="8"/>
      <c r="AV147" s="8"/>
      <c r="AW147" s="8"/>
      <c r="AX147" s="8"/>
      <c r="AY147" s="8"/>
      <c r="AZ147" s="8"/>
      <c r="BA147" s="8"/>
      <c r="BB147" s="8"/>
      <c r="BC147" s="8"/>
      <c r="BD147" s="8"/>
      <c r="BE147" s="8"/>
      <c r="BF147" s="8"/>
      <c r="BG147" s="8"/>
      <c r="BH147" s="8"/>
      <c r="BI147" s="8"/>
      <c r="BJ147" s="8"/>
      <c r="BK147" s="8"/>
      <c r="BL147" s="8"/>
      <c r="BM147" s="8"/>
      <c r="BN147" s="8"/>
      <c r="BO147" s="8"/>
      <c r="BP147" s="8"/>
      <c r="BQ147" s="8"/>
      <c r="BR147" s="8"/>
      <c r="BS147" s="8"/>
      <c r="BT147" s="8"/>
      <c r="BU147" s="8"/>
      <c r="BV147" s="8"/>
      <c r="BW147" s="8"/>
      <c r="BX147" s="8"/>
      <c r="BY147" s="8"/>
      <c r="BZ147" s="8"/>
      <c r="CA147" s="8"/>
      <c r="CB147" s="8"/>
      <c r="CC147" s="8"/>
      <c r="CD147" s="8"/>
      <c r="CE147" s="8"/>
      <c r="CF147" s="8"/>
      <c r="CG147" s="8"/>
      <c r="CH147" s="8"/>
      <c r="CI147" s="8"/>
      <c r="CJ147" s="8"/>
      <c r="CK147" s="8"/>
      <c r="CL147" s="8"/>
      <c r="CM147" s="8"/>
      <c r="CN147" s="8"/>
      <c r="CO147" s="8"/>
      <c r="CP147" s="8"/>
      <c r="CQ147" s="8"/>
      <c r="CR147" s="8"/>
    </row>
    <row r="148" spans="1:96" x14ac:dyDescent="0.25">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c r="AB148" s="8"/>
      <c r="AC148" s="8"/>
      <c r="AD148" s="8"/>
      <c r="AE148" s="8"/>
      <c r="AF148" s="8"/>
      <c r="AG148" s="8"/>
      <c r="AH148" s="8"/>
      <c r="AI148" s="8"/>
      <c r="AJ148" s="8"/>
      <c r="AK148" s="8"/>
      <c r="AL148" s="8"/>
      <c r="AM148" s="8"/>
      <c r="AN148" s="8"/>
      <c r="AO148" s="8"/>
      <c r="AP148" s="8"/>
      <c r="AQ148" s="8"/>
      <c r="AR148" s="8"/>
      <c r="AS148" s="8"/>
      <c r="AT148" s="8"/>
      <c r="AU148" s="8"/>
      <c r="AV148" s="8"/>
      <c r="AW148" s="8"/>
      <c r="AX148" s="8"/>
      <c r="AY148" s="8"/>
      <c r="AZ148" s="8"/>
      <c r="BA148" s="8"/>
      <c r="BB148" s="8"/>
      <c r="BC148" s="8"/>
      <c r="BD148" s="8"/>
      <c r="BE148" s="8"/>
      <c r="BF148" s="8"/>
      <c r="BG148" s="8"/>
      <c r="BH148" s="8"/>
      <c r="BI148" s="8"/>
      <c r="BJ148" s="8"/>
      <c r="BK148" s="8"/>
      <c r="BL148" s="8"/>
      <c r="BM148" s="8"/>
      <c r="BN148" s="8"/>
      <c r="BO148" s="8"/>
      <c r="BP148" s="8"/>
      <c r="BQ148" s="8"/>
      <c r="BR148" s="8"/>
      <c r="BS148" s="8"/>
      <c r="BT148" s="8"/>
      <c r="BU148" s="8"/>
      <c r="BV148" s="8"/>
      <c r="BW148" s="8"/>
      <c r="BX148" s="8"/>
      <c r="BY148" s="8"/>
      <c r="BZ148" s="8"/>
      <c r="CA148" s="8"/>
      <c r="CB148" s="8"/>
      <c r="CC148" s="8"/>
      <c r="CD148" s="8"/>
      <c r="CE148" s="8"/>
      <c r="CF148" s="8"/>
      <c r="CG148" s="8"/>
      <c r="CH148" s="8"/>
      <c r="CI148" s="8"/>
      <c r="CJ148" s="8"/>
      <c r="CK148" s="8"/>
      <c r="CL148" s="8"/>
      <c r="CM148" s="8"/>
      <c r="CN148" s="8"/>
      <c r="CO148" s="8"/>
      <c r="CP148" s="8"/>
      <c r="CQ148" s="8"/>
      <c r="CR148" s="8"/>
    </row>
    <row r="149" spans="1:96" x14ac:dyDescent="0.25">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c r="AB149" s="8"/>
      <c r="AC149" s="8"/>
      <c r="AD149" s="8"/>
      <c r="AE149" s="8"/>
      <c r="AF149" s="8"/>
      <c r="AG149" s="8"/>
      <c r="AH149" s="8"/>
      <c r="AI149" s="8"/>
      <c r="AJ149" s="8"/>
      <c r="AK149" s="8"/>
      <c r="AL149" s="8"/>
      <c r="AM149" s="8"/>
      <c r="AN149" s="8"/>
      <c r="AO149" s="8"/>
      <c r="AP149" s="8"/>
      <c r="AQ149" s="8"/>
      <c r="AR149" s="8"/>
      <c r="AS149" s="8"/>
      <c r="AT149" s="8"/>
      <c r="AU149" s="8"/>
      <c r="AV149" s="8"/>
      <c r="AW149" s="8"/>
      <c r="AX149" s="8"/>
      <c r="AY149" s="8"/>
      <c r="AZ149" s="8"/>
      <c r="BA149" s="8"/>
      <c r="BB149" s="8"/>
      <c r="BC149" s="8"/>
      <c r="BD149" s="8"/>
      <c r="BE149" s="8"/>
      <c r="BF149" s="8"/>
      <c r="BG149" s="8"/>
      <c r="BH149" s="8"/>
      <c r="BI149" s="8"/>
      <c r="BJ149" s="8"/>
      <c r="BK149" s="8"/>
      <c r="BL149" s="8"/>
      <c r="BM149" s="8"/>
      <c r="BN149" s="8"/>
      <c r="BO149" s="8"/>
      <c r="BP149" s="8"/>
      <c r="BQ149" s="8"/>
      <c r="BR149" s="8"/>
      <c r="BS149" s="8"/>
      <c r="BT149" s="8"/>
      <c r="BU149" s="8"/>
      <c r="BV149" s="8"/>
      <c r="BW149" s="8"/>
      <c r="BX149" s="8"/>
      <c r="BY149" s="8"/>
      <c r="BZ149" s="8"/>
      <c r="CA149" s="8"/>
      <c r="CB149" s="8"/>
      <c r="CC149" s="8"/>
      <c r="CD149" s="8"/>
      <c r="CE149" s="8"/>
      <c r="CF149" s="8"/>
      <c r="CG149" s="8"/>
      <c r="CH149" s="8"/>
      <c r="CI149" s="8"/>
      <c r="CJ149" s="8"/>
      <c r="CK149" s="8"/>
      <c r="CL149" s="8"/>
      <c r="CM149" s="8"/>
      <c r="CN149" s="8"/>
      <c r="CO149" s="8"/>
      <c r="CP149" s="8"/>
      <c r="CQ149" s="8"/>
      <c r="CR149" s="8"/>
    </row>
    <row r="150" spans="1:96" x14ac:dyDescent="0.25">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c r="AB150" s="8"/>
      <c r="AC150" s="8"/>
      <c r="AD150" s="8"/>
      <c r="AE150" s="8"/>
      <c r="AF150" s="8"/>
      <c r="AG150" s="8"/>
      <c r="AH150" s="8"/>
      <c r="AI150" s="8"/>
      <c r="AJ150" s="8"/>
      <c r="AK150" s="8"/>
      <c r="AL150" s="8"/>
      <c r="AM150" s="8"/>
      <c r="AN150" s="8"/>
      <c r="AO150" s="8"/>
      <c r="AP150" s="8"/>
      <c r="AQ150" s="8"/>
      <c r="AR150" s="8"/>
      <c r="AS150" s="8"/>
      <c r="AT150" s="8"/>
      <c r="AU150" s="8"/>
      <c r="AV150" s="8"/>
      <c r="AW150" s="8"/>
      <c r="AX150" s="8"/>
      <c r="AY150" s="8"/>
      <c r="AZ150" s="8"/>
      <c r="BA150" s="8"/>
      <c r="BB150" s="8"/>
      <c r="BC150" s="8"/>
      <c r="BD150" s="8"/>
      <c r="BE150" s="8"/>
      <c r="BF150" s="8"/>
      <c r="BG150" s="8"/>
      <c r="BH150" s="8"/>
      <c r="BI150" s="8"/>
      <c r="BJ150" s="8"/>
      <c r="BK150" s="8"/>
      <c r="BL150" s="8"/>
      <c r="BM150" s="8"/>
      <c r="BN150" s="8"/>
      <c r="BO150" s="8"/>
      <c r="BP150" s="8"/>
      <c r="BQ150" s="8"/>
      <c r="BR150" s="8"/>
      <c r="BS150" s="8"/>
      <c r="BT150" s="8"/>
      <c r="BU150" s="8"/>
      <c r="BV150" s="8"/>
      <c r="BW150" s="8"/>
      <c r="BX150" s="8"/>
      <c r="BY150" s="8"/>
      <c r="BZ150" s="8"/>
      <c r="CA150" s="8"/>
      <c r="CB150" s="8"/>
      <c r="CC150" s="8"/>
      <c r="CD150" s="8"/>
      <c r="CE150" s="8"/>
      <c r="CF150" s="8"/>
      <c r="CG150" s="8"/>
      <c r="CH150" s="8"/>
      <c r="CI150" s="8"/>
      <c r="CJ150" s="8"/>
      <c r="CK150" s="8"/>
      <c r="CL150" s="8"/>
      <c r="CM150" s="8"/>
      <c r="CN150" s="8"/>
      <c r="CO150" s="8"/>
      <c r="CP150" s="8"/>
      <c r="CQ150" s="8"/>
      <c r="CR150" s="8"/>
    </row>
    <row r="151" spans="1:96" x14ac:dyDescent="0.25">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c r="AB151" s="8"/>
      <c r="AC151" s="8"/>
      <c r="AD151" s="8"/>
      <c r="AE151" s="8"/>
      <c r="AF151" s="8"/>
      <c r="AG151" s="8"/>
      <c r="AH151" s="8"/>
      <c r="AI151" s="8"/>
      <c r="AJ151" s="8"/>
      <c r="AK151" s="8"/>
      <c r="AL151" s="8"/>
      <c r="AM151" s="8"/>
      <c r="AN151" s="8"/>
      <c r="AO151" s="8"/>
      <c r="AP151" s="8"/>
      <c r="AQ151" s="8"/>
      <c r="AR151" s="8"/>
      <c r="AS151" s="8"/>
      <c r="AT151" s="8"/>
      <c r="AU151" s="8"/>
      <c r="AV151" s="8"/>
      <c r="AW151" s="8"/>
      <c r="AX151" s="8"/>
      <c r="AY151" s="8"/>
      <c r="AZ151" s="8"/>
      <c r="BA151" s="8"/>
      <c r="BB151" s="8"/>
      <c r="BC151" s="8"/>
      <c r="BD151" s="8"/>
      <c r="BE151" s="8"/>
      <c r="BF151" s="8"/>
      <c r="BG151" s="8"/>
      <c r="BH151" s="8"/>
      <c r="BI151" s="8"/>
      <c r="BJ151" s="8"/>
      <c r="BK151" s="8"/>
      <c r="BL151" s="8"/>
      <c r="BM151" s="8"/>
      <c r="BN151" s="8"/>
      <c r="BO151" s="8"/>
      <c r="BP151" s="8"/>
      <c r="BQ151" s="8"/>
      <c r="BR151" s="8"/>
      <c r="BS151" s="8"/>
      <c r="BT151" s="8"/>
      <c r="BU151" s="8"/>
      <c r="BV151" s="8"/>
      <c r="BW151" s="8"/>
      <c r="BX151" s="8"/>
      <c r="BY151" s="8"/>
      <c r="BZ151" s="8"/>
      <c r="CA151" s="8"/>
      <c r="CB151" s="8"/>
      <c r="CC151" s="8"/>
      <c r="CD151" s="8"/>
      <c r="CE151" s="8"/>
      <c r="CF151" s="8"/>
      <c r="CG151" s="8"/>
      <c r="CH151" s="8"/>
      <c r="CI151" s="8"/>
      <c r="CJ151" s="8"/>
      <c r="CK151" s="8"/>
      <c r="CL151" s="8"/>
      <c r="CM151" s="8"/>
      <c r="CN151" s="8"/>
      <c r="CO151" s="8"/>
      <c r="CP151" s="8"/>
      <c r="CQ151" s="8"/>
      <c r="CR151" s="8"/>
    </row>
    <row r="152" spans="1:96" x14ac:dyDescent="0.25">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c r="AB152" s="8"/>
      <c r="AC152" s="8"/>
      <c r="AD152" s="8"/>
      <c r="AE152" s="8"/>
      <c r="AF152" s="8"/>
      <c r="AG152" s="8"/>
      <c r="AH152" s="8"/>
      <c r="AI152" s="8"/>
      <c r="AJ152" s="8"/>
      <c r="AK152" s="8"/>
      <c r="AL152" s="8"/>
      <c r="AM152" s="8"/>
      <c r="AN152" s="8"/>
      <c r="AO152" s="8"/>
      <c r="AP152" s="8"/>
      <c r="AQ152" s="8"/>
      <c r="AR152" s="8"/>
      <c r="AS152" s="8"/>
      <c r="AT152" s="8"/>
      <c r="AU152" s="8"/>
      <c r="AV152" s="8"/>
      <c r="AW152" s="8"/>
      <c r="AX152" s="8"/>
      <c r="AY152" s="8"/>
      <c r="AZ152" s="8"/>
      <c r="BA152" s="8"/>
      <c r="BB152" s="8"/>
      <c r="BC152" s="8"/>
      <c r="BD152" s="8"/>
      <c r="BE152" s="8"/>
      <c r="BF152" s="8"/>
      <c r="BG152" s="8"/>
      <c r="BH152" s="8"/>
      <c r="BI152" s="8"/>
      <c r="BJ152" s="8"/>
      <c r="BK152" s="8"/>
      <c r="BL152" s="8"/>
      <c r="BM152" s="8"/>
      <c r="BN152" s="8"/>
      <c r="BO152" s="8"/>
      <c r="BP152" s="8"/>
      <c r="BQ152" s="8"/>
      <c r="BR152" s="8"/>
      <c r="BS152" s="8"/>
      <c r="BT152" s="8"/>
      <c r="BU152" s="8"/>
      <c r="BV152" s="8"/>
      <c r="BW152" s="8"/>
      <c r="BX152" s="8"/>
      <c r="BY152" s="8"/>
      <c r="BZ152" s="8"/>
      <c r="CA152" s="8"/>
      <c r="CB152" s="8"/>
      <c r="CC152" s="8"/>
      <c r="CD152" s="8"/>
      <c r="CE152" s="8"/>
      <c r="CF152" s="8"/>
      <c r="CG152" s="8"/>
      <c r="CH152" s="8"/>
      <c r="CI152" s="8"/>
      <c r="CJ152" s="8"/>
      <c r="CK152" s="8"/>
      <c r="CL152" s="8"/>
      <c r="CM152" s="8"/>
      <c r="CN152" s="8"/>
      <c r="CO152" s="8"/>
      <c r="CP152" s="8"/>
      <c r="CQ152" s="8"/>
      <c r="CR152" s="8"/>
    </row>
    <row r="153" spans="1:96" x14ac:dyDescent="0.25">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c r="AB153" s="8"/>
      <c r="AC153" s="8"/>
      <c r="AD153" s="8"/>
      <c r="AE153" s="8"/>
      <c r="AF153" s="8"/>
      <c r="AG153" s="8"/>
      <c r="AH153" s="8"/>
      <c r="AI153" s="8"/>
      <c r="AJ153" s="8"/>
      <c r="AK153" s="8"/>
      <c r="AL153" s="8"/>
      <c r="AM153" s="8"/>
      <c r="AN153" s="8"/>
      <c r="AO153" s="8"/>
      <c r="AP153" s="8"/>
      <c r="AQ153" s="8"/>
      <c r="AR153" s="8"/>
      <c r="AS153" s="8"/>
      <c r="AT153" s="8"/>
      <c r="AU153" s="8"/>
      <c r="AV153" s="8"/>
      <c r="AW153" s="8"/>
      <c r="AX153" s="8"/>
      <c r="AY153" s="8"/>
      <c r="AZ153" s="8"/>
      <c r="BA153" s="8"/>
      <c r="BB153" s="8"/>
      <c r="BC153" s="8"/>
      <c r="BD153" s="8"/>
      <c r="BE153" s="8"/>
      <c r="BF153" s="8"/>
      <c r="BG153" s="8"/>
      <c r="BH153" s="8"/>
      <c r="BI153" s="8"/>
      <c r="BJ153" s="8"/>
      <c r="BK153" s="8"/>
      <c r="BL153" s="8"/>
      <c r="BM153" s="8"/>
      <c r="BN153" s="8"/>
      <c r="BO153" s="8"/>
      <c r="BP153" s="8"/>
      <c r="BQ153" s="8"/>
      <c r="BR153" s="8"/>
      <c r="BS153" s="8"/>
      <c r="BT153" s="8"/>
      <c r="BU153" s="8"/>
      <c r="BV153" s="8"/>
      <c r="BW153" s="8"/>
      <c r="BX153" s="8"/>
      <c r="BY153" s="8"/>
      <c r="BZ153" s="8"/>
      <c r="CA153" s="8"/>
      <c r="CB153" s="8"/>
      <c r="CC153" s="8"/>
      <c r="CD153" s="8"/>
      <c r="CE153" s="8"/>
      <c r="CF153" s="8"/>
      <c r="CG153" s="8"/>
      <c r="CH153" s="8"/>
      <c r="CI153" s="8"/>
      <c r="CJ153" s="8"/>
      <c r="CK153" s="8"/>
      <c r="CL153" s="8"/>
      <c r="CM153" s="8"/>
      <c r="CN153" s="8"/>
      <c r="CO153" s="8"/>
      <c r="CP153" s="8"/>
      <c r="CQ153" s="8"/>
      <c r="CR153" s="8"/>
    </row>
    <row r="154" spans="1:96" x14ac:dyDescent="0.25">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c r="AA154" s="8"/>
      <c r="AB154" s="8"/>
      <c r="AC154" s="8"/>
      <c r="AD154" s="8"/>
      <c r="AE154" s="8"/>
      <c r="AF154" s="8"/>
      <c r="AG154" s="8"/>
      <c r="AH154" s="8"/>
      <c r="AI154" s="8"/>
      <c r="AJ154" s="8"/>
      <c r="AK154" s="8"/>
      <c r="AL154" s="8"/>
      <c r="AM154" s="8"/>
      <c r="AN154" s="8"/>
      <c r="AO154" s="8"/>
      <c r="AP154" s="8"/>
      <c r="AQ154" s="8"/>
      <c r="AR154" s="8"/>
      <c r="AS154" s="8"/>
      <c r="AT154" s="8"/>
      <c r="AU154" s="8"/>
      <c r="AV154" s="8"/>
      <c r="AW154" s="8"/>
      <c r="AX154" s="8"/>
      <c r="AY154" s="8"/>
      <c r="AZ154" s="8"/>
      <c r="BA154" s="8"/>
      <c r="BB154" s="8"/>
      <c r="BC154" s="8"/>
      <c r="BD154" s="8"/>
      <c r="BE154" s="8"/>
      <c r="BF154" s="8"/>
      <c r="BG154" s="8"/>
      <c r="BH154" s="8"/>
      <c r="BI154" s="8"/>
      <c r="BJ154" s="8"/>
      <c r="BK154" s="8"/>
      <c r="BL154" s="8"/>
      <c r="BM154" s="8"/>
      <c r="BN154" s="8"/>
      <c r="BO154" s="8"/>
      <c r="BP154" s="8"/>
      <c r="BQ154" s="8"/>
      <c r="BR154" s="8"/>
      <c r="BS154" s="8"/>
      <c r="BT154" s="8"/>
      <c r="BU154" s="8"/>
      <c r="BV154" s="8"/>
      <c r="BW154" s="8"/>
      <c r="BX154" s="8"/>
      <c r="BY154" s="8"/>
      <c r="BZ154" s="8"/>
      <c r="CA154" s="8"/>
      <c r="CB154" s="8"/>
      <c r="CC154" s="8"/>
      <c r="CD154" s="8"/>
      <c r="CE154" s="8"/>
      <c r="CF154" s="8"/>
      <c r="CG154" s="8"/>
      <c r="CH154" s="8"/>
      <c r="CI154" s="8"/>
      <c r="CJ154" s="8"/>
      <c r="CK154" s="8"/>
      <c r="CL154" s="8"/>
      <c r="CM154" s="8"/>
      <c r="CN154" s="8"/>
      <c r="CO154" s="8"/>
      <c r="CP154" s="8"/>
      <c r="CQ154" s="8"/>
      <c r="CR154" s="8"/>
    </row>
    <row r="155" spans="1:96" x14ac:dyDescent="0.2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c r="AB155" s="8"/>
      <c r="AC155" s="8"/>
      <c r="AD155" s="8"/>
      <c r="AE155" s="8"/>
      <c r="AF155" s="8"/>
      <c r="AG155" s="8"/>
      <c r="AH155" s="8"/>
      <c r="AI155" s="8"/>
      <c r="AJ155" s="8"/>
      <c r="AK155" s="8"/>
      <c r="AL155" s="8"/>
      <c r="AM155" s="8"/>
      <c r="AN155" s="8"/>
      <c r="AO155" s="8"/>
      <c r="AP155" s="8"/>
      <c r="AQ155" s="8"/>
      <c r="AR155" s="8"/>
      <c r="AS155" s="8"/>
      <c r="AT155" s="8"/>
      <c r="AU155" s="8"/>
      <c r="AV155" s="8"/>
      <c r="AW155" s="8"/>
      <c r="AX155" s="8"/>
      <c r="AY155" s="8"/>
      <c r="AZ155" s="8"/>
      <c r="BA155" s="8"/>
      <c r="BB155" s="8"/>
      <c r="BC155" s="8"/>
      <c r="BD155" s="8"/>
      <c r="BE155" s="8"/>
      <c r="BF155" s="8"/>
      <c r="BG155" s="8"/>
      <c r="BH155" s="8"/>
      <c r="BI155" s="8"/>
      <c r="BJ155" s="8"/>
      <c r="BK155" s="8"/>
      <c r="BL155" s="8"/>
      <c r="BM155" s="8"/>
      <c r="BN155" s="8"/>
      <c r="BO155" s="8"/>
      <c r="BP155" s="8"/>
      <c r="BQ155" s="8"/>
      <c r="BR155" s="8"/>
      <c r="BS155" s="8"/>
      <c r="BT155" s="8"/>
      <c r="BU155" s="8"/>
      <c r="BV155" s="8"/>
      <c r="BW155" s="8"/>
      <c r="BX155" s="8"/>
      <c r="BY155" s="8"/>
      <c r="BZ155" s="8"/>
      <c r="CA155" s="8"/>
      <c r="CB155" s="8"/>
      <c r="CC155" s="8"/>
      <c r="CD155" s="8"/>
      <c r="CE155" s="8"/>
      <c r="CF155" s="8"/>
      <c r="CG155" s="8"/>
      <c r="CH155" s="8"/>
      <c r="CI155" s="8"/>
      <c r="CJ155" s="8"/>
      <c r="CK155" s="8"/>
      <c r="CL155" s="8"/>
      <c r="CM155" s="8"/>
      <c r="CN155" s="8"/>
      <c r="CO155" s="8"/>
      <c r="CP155" s="8"/>
      <c r="CQ155" s="8"/>
      <c r="CR155" s="8"/>
    </row>
    <row r="156" spans="1:96" x14ac:dyDescent="0.25">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c r="AB156" s="8"/>
      <c r="AC156" s="8"/>
      <c r="AD156" s="8"/>
      <c r="AE156" s="8"/>
      <c r="AF156" s="8"/>
      <c r="AG156" s="8"/>
      <c r="AH156" s="8"/>
      <c r="AI156" s="8"/>
      <c r="AJ156" s="8"/>
      <c r="AK156" s="8"/>
      <c r="AL156" s="8"/>
      <c r="AM156" s="8"/>
      <c r="AN156" s="8"/>
      <c r="AO156" s="8"/>
      <c r="AP156" s="8"/>
      <c r="AQ156" s="8"/>
      <c r="AR156" s="8"/>
      <c r="AS156" s="8"/>
      <c r="AT156" s="8"/>
      <c r="AU156" s="8"/>
      <c r="AV156" s="8"/>
      <c r="AW156" s="8"/>
      <c r="AX156" s="8"/>
      <c r="AY156" s="8"/>
      <c r="AZ156" s="8"/>
      <c r="BA156" s="8"/>
      <c r="BB156" s="8"/>
      <c r="BC156" s="8"/>
      <c r="BD156" s="8"/>
      <c r="BE156" s="8"/>
      <c r="BF156" s="8"/>
      <c r="BG156" s="8"/>
      <c r="BH156" s="8"/>
      <c r="BI156" s="8"/>
      <c r="BJ156" s="8"/>
      <c r="BK156" s="8"/>
      <c r="BL156" s="8"/>
      <c r="BM156" s="8"/>
      <c r="BN156" s="8"/>
      <c r="BO156" s="8"/>
      <c r="BP156" s="8"/>
      <c r="BQ156" s="8"/>
      <c r="BR156" s="8"/>
      <c r="BS156" s="8"/>
      <c r="BT156" s="8"/>
      <c r="BU156" s="8"/>
      <c r="BV156" s="8"/>
      <c r="BW156" s="8"/>
      <c r="BX156" s="8"/>
      <c r="BY156" s="8"/>
      <c r="BZ156" s="8"/>
      <c r="CA156" s="8"/>
      <c r="CB156" s="8"/>
      <c r="CC156" s="8"/>
      <c r="CD156" s="8"/>
      <c r="CE156" s="8"/>
      <c r="CF156" s="8"/>
      <c r="CG156" s="8"/>
      <c r="CH156" s="8"/>
      <c r="CI156" s="8"/>
      <c r="CJ156" s="8"/>
      <c r="CK156" s="8"/>
      <c r="CL156" s="8"/>
      <c r="CM156" s="8"/>
      <c r="CN156" s="8"/>
      <c r="CO156" s="8"/>
      <c r="CP156" s="8"/>
      <c r="CQ156" s="8"/>
      <c r="CR156" s="8"/>
    </row>
    <row r="157" spans="1:96" x14ac:dyDescent="0.25">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c r="AA157" s="8"/>
      <c r="AB157" s="8"/>
      <c r="AC157" s="8"/>
      <c r="AD157" s="8"/>
      <c r="AE157" s="8"/>
      <c r="AF157" s="8"/>
      <c r="AG157" s="8"/>
      <c r="AH157" s="8"/>
      <c r="AI157" s="8"/>
      <c r="AJ157" s="8"/>
      <c r="AK157" s="8"/>
      <c r="AL157" s="8"/>
      <c r="AM157" s="8"/>
      <c r="AN157" s="8"/>
      <c r="AO157" s="8"/>
      <c r="AP157" s="8"/>
      <c r="AQ157" s="8"/>
      <c r="AR157" s="8"/>
      <c r="AS157" s="8"/>
      <c r="AT157" s="8"/>
      <c r="AU157" s="8"/>
      <c r="AV157" s="8"/>
      <c r="AW157" s="8"/>
      <c r="AX157" s="8"/>
      <c r="AY157" s="8"/>
      <c r="AZ157" s="8"/>
      <c r="BA157" s="8"/>
      <c r="BB157" s="8"/>
      <c r="BC157" s="8"/>
      <c r="BD157" s="8"/>
      <c r="BE157" s="8"/>
      <c r="BF157" s="8"/>
      <c r="BG157" s="8"/>
      <c r="BH157" s="8"/>
      <c r="BI157" s="8"/>
      <c r="BJ157" s="8"/>
      <c r="BK157" s="8"/>
      <c r="BL157" s="8"/>
      <c r="BM157" s="8"/>
      <c r="BN157" s="8"/>
      <c r="BO157" s="8"/>
      <c r="BP157" s="8"/>
      <c r="BQ157" s="8"/>
      <c r="BR157" s="8"/>
      <c r="BS157" s="8"/>
      <c r="BT157" s="8"/>
      <c r="BU157" s="8"/>
      <c r="BV157" s="8"/>
      <c r="BW157" s="8"/>
      <c r="BX157" s="8"/>
      <c r="BY157" s="8"/>
      <c r="BZ157" s="8"/>
      <c r="CA157" s="8"/>
      <c r="CB157" s="8"/>
      <c r="CC157" s="8"/>
      <c r="CD157" s="8"/>
      <c r="CE157" s="8"/>
      <c r="CF157" s="8"/>
      <c r="CG157" s="8"/>
      <c r="CH157" s="8"/>
      <c r="CI157" s="8"/>
      <c r="CJ157" s="8"/>
      <c r="CK157" s="8"/>
      <c r="CL157" s="8"/>
      <c r="CM157" s="8"/>
      <c r="CN157" s="8"/>
      <c r="CO157" s="8"/>
      <c r="CP157" s="8"/>
      <c r="CQ157" s="8"/>
      <c r="CR157" s="8"/>
    </row>
    <row r="158" spans="1:96" x14ac:dyDescent="0.25">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c r="AB158" s="8"/>
      <c r="AC158" s="8"/>
      <c r="AD158" s="8"/>
      <c r="AE158" s="8"/>
      <c r="AF158" s="8"/>
      <c r="AG158" s="8"/>
      <c r="AH158" s="8"/>
      <c r="AI158" s="8"/>
      <c r="AJ158" s="8"/>
      <c r="AK158" s="8"/>
      <c r="AL158" s="8"/>
      <c r="AM158" s="8"/>
      <c r="AN158" s="8"/>
      <c r="AO158" s="8"/>
      <c r="AP158" s="8"/>
      <c r="AQ158" s="8"/>
      <c r="AR158" s="8"/>
      <c r="AS158" s="8"/>
      <c r="AT158" s="8"/>
      <c r="AU158" s="8"/>
      <c r="AV158" s="8"/>
      <c r="AW158" s="8"/>
      <c r="AX158" s="8"/>
      <c r="AY158" s="8"/>
      <c r="AZ158" s="8"/>
      <c r="BA158" s="8"/>
      <c r="BB158" s="8"/>
      <c r="BC158" s="8"/>
      <c r="BD158" s="8"/>
      <c r="BE158" s="8"/>
      <c r="BF158" s="8"/>
      <c r="BG158" s="8"/>
      <c r="BH158" s="8"/>
      <c r="BI158" s="8"/>
      <c r="BJ158" s="8"/>
      <c r="BK158" s="8"/>
      <c r="BL158" s="8"/>
      <c r="BM158" s="8"/>
      <c r="BN158" s="8"/>
      <c r="BO158" s="8"/>
      <c r="BP158" s="8"/>
      <c r="BQ158" s="8"/>
      <c r="BR158" s="8"/>
      <c r="BS158" s="8"/>
      <c r="BT158" s="8"/>
      <c r="BU158" s="8"/>
      <c r="BV158" s="8"/>
      <c r="BW158" s="8"/>
      <c r="BX158" s="8"/>
      <c r="BY158" s="8"/>
      <c r="BZ158" s="8"/>
      <c r="CA158" s="8"/>
      <c r="CB158" s="8"/>
      <c r="CC158" s="8"/>
      <c r="CD158" s="8"/>
      <c r="CE158" s="8"/>
      <c r="CF158" s="8"/>
      <c r="CG158" s="8"/>
      <c r="CH158" s="8"/>
      <c r="CI158" s="8"/>
      <c r="CJ158" s="8"/>
      <c r="CK158" s="8"/>
      <c r="CL158" s="8"/>
      <c r="CM158" s="8"/>
      <c r="CN158" s="8"/>
      <c r="CO158" s="8"/>
      <c r="CP158" s="8"/>
      <c r="CQ158" s="8"/>
      <c r="CR158" s="8"/>
    </row>
    <row r="159" spans="1:96" x14ac:dyDescent="0.25">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c r="AA159" s="8"/>
      <c r="AB159" s="8"/>
      <c r="AC159" s="8"/>
      <c r="AD159" s="8"/>
      <c r="AE159" s="8"/>
      <c r="AF159" s="8"/>
      <c r="AG159" s="8"/>
      <c r="AH159" s="8"/>
      <c r="AI159" s="8"/>
      <c r="AJ159" s="8"/>
      <c r="AK159" s="8"/>
      <c r="AL159" s="8"/>
      <c r="AM159" s="8"/>
      <c r="AN159" s="8"/>
      <c r="AO159" s="8"/>
      <c r="AP159" s="8"/>
      <c r="AQ159" s="8"/>
      <c r="AR159" s="8"/>
      <c r="AS159" s="8"/>
      <c r="AT159" s="8"/>
      <c r="AU159" s="8"/>
      <c r="AV159" s="8"/>
      <c r="AW159" s="8"/>
      <c r="AX159" s="8"/>
      <c r="AY159" s="8"/>
      <c r="AZ159" s="8"/>
      <c r="BA159" s="8"/>
      <c r="BB159" s="8"/>
      <c r="BC159" s="8"/>
      <c r="BD159" s="8"/>
      <c r="BE159" s="8"/>
      <c r="BF159" s="8"/>
      <c r="BG159" s="8"/>
      <c r="BH159" s="8"/>
      <c r="BI159" s="8"/>
      <c r="BJ159" s="8"/>
      <c r="BK159" s="8"/>
      <c r="BL159" s="8"/>
      <c r="BM159" s="8"/>
      <c r="BN159" s="8"/>
      <c r="BO159" s="8"/>
      <c r="BP159" s="8"/>
      <c r="BQ159" s="8"/>
      <c r="BR159" s="8"/>
      <c r="BS159" s="8"/>
      <c r="BT159" s="8"/>
      <c r="BU159" s="8"/>
      <c r="BV159" s="8"/>
      <c r="BW159" s="8"/>
      <c r="BX159" s="8"/>
      <c r="BY159" s="8"/>
      <c r="BZ159" s="8"/>
      <c r="CA159" s="8"/>
      <c r="CB159" s="8"/>
      <c r="CC159" s="8"/>
      <c r="CD159" s="8"/>
      <c r="CE159" s="8"/>
      <c r="CF159" s="8"/>
      <c r="CG159" s="8"/>
      <c r="CH159" s="8"/>
      <c r="CI159" s="8"/>
      <c r="CJ159" s="8"/>
      <c r="CK159" s="8"/>
      <c r="CL159" s="8"/>
      <c r="CM159" s="8"/>
      <c r="CN159" s="8"/>
      <c r="CO159" s="8"/>
      <c r="CP159" s="8"/>
      <c r="CQ159" s="8"/>
      <c r="CR159" s="8"/>
    </row>
    <row r="160" spans="1:96" x14ac:dyDescent="0.25">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c r="AA160" s="8"/>
      <c r="AB160" s="8"/>
      <c r="AC160" s="8"/>
      <c r="AD160" s="8"/>
      <c r="AE160" s="8"/>
      <c r="AF160" s="8"/>
      <c r="AG160" s="8"/>
      <c r="AH160" s="8"/>
      <c r="AI160" s="8"/>
      <c r="AJ160" s="8"/>
      <c r="AK160" s="8"/>
      <c r="AL160" s="8"/>
      <c r="AM160" s="8"/>
      <c r="AN160" s="8"/>
      <c r="AO160" s="8"/>
      <c r="AP160" s="8"/>
      <c r="AQ160" s="8"/>
      <c r="AR160" s="8"/>
      <c r="AS160" s="8"/>
      <c r="AT160" s="8"/>
      <c r="AU160" s="8"/>
      <c r="AV160" s="8"/>
      <c r="AW160" s="8"/>
      <c r="AX160" s="8"/>
      <c r="AY160" s="8"/>
      <c r="AZ160" s="8"/>
      <c r="BA160" s="8"/>
      <c r="BB160" s="8"/>
      <c r="BC160" s="8"/>
      <c r="BD160" s="8"/>
      <c r="BE160" s="8"/>
      <c r="BF160" s="8"/>
      <c r="BG160" s="8"/>
      <c r="BH160" s="8"/>
      <c r="BI160" s="8"/>
      <c r="BJ160" s="8"/>
      <c r="BK160" s="8"/>
      <c r="BL160" s="8"/>
      <c r="BM160" s="8"/>
      <c r="BN160" s="8"/>
      <c r="BO160" s="8"/>
      <c r="BP160" s="8"/>
      <c r="BQ160" s="8"/>
      <c r="BR160" s="8"/>
      <c r="BS160" s="8"/>
      <c r="BT160" s="8"/>
      <c r="BU160" s="8"/>
      <c r="BV160" s="8"/>
      <c r="BW160" s="8"/>
      <c r="BX160" s="8"/>
      <c r="BY160" s="8"/>
      <c r="BZ160" s="8"/>
      <c r="CA160" s="8"/>
      <c r="CB160" s="8"/>
      <c r="CC160" s="8"/>
      <c r="CD160" s="8"/>
      <c r="CE160" s="8"/>
      <c r="CF160" s="8"/>
      <c r="CG160" s="8"/>
      <c r="CH160" s="8"/>
      <c r="CI160" s="8"/>
      <c r="CJ160" s="8"/>
      <c r="CK160" s="8"/>
      <c r="CL160" s="8"/>
      <c r="CM160" s="8"/>
      <c r="CN160" s="8"/>
      <c r="CO160" s="8"/>
      <c r="CP160" s="8"/>
      <c r="CQ160" s="8"/>
      <c r="CR160" s="8"/>
    </row>
    <row r="161" spans="1:96" x14ac:dyDescent="0.25">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c r="AB161" s="8"/>
      <c r="AC161" s="8"/>
      <c r="AD161" s="8"/>
      <c r="AE161" s="8"/>
      <c r="AF161" s="8"/>
      <c r="AG161" s="8"/>
      <c r="AH161" s="8"/>
      <c r="AI161" s="8"/>
      <c r="AJ161" s="8"/>
      <c r="AK161" s="8"/>
      <c r="AL161" s="8"/>
      <c r="AM161" s="8"/>
      <c r="AN161" s="8"/>
      <c r="AO161" s="8"/>
      <c r="AP161" s="8"/>
      <c r="AQ161" s="8"/>
      <c r="AR161" s="8"/>
      <c r="AS161" s="8"/>
      <c r="AT161" s="8"/>
      <c r="AU161" s="8"/>
      <c r="AV161" s="8"/>
      <c r="AW161" s="8"/>
      <c r="AX161" s="8"/>
      <c r="AY161" s="8"/>
      <c r="AZ161" s="8"/>
      <c r="BA161" s="8"/>
      <c r="BB161" s="8"/>
      <c r="BC161" s="8"/>
      <c r="BD161" s="8"/>
      <c r="BE161" s="8"/>
      <c r="BF161" s="8"/>
      <c r="BG161" s="8"/>
      <c r="BH161" s="8"/>
      <c r="BI161" s="8"/>
      <c r="BJ161" s="8"/>
      <c r="BK161" s="8"/>
      <c r="BL161" s="8"/>
      <c r="BM161" s="8"/>
      <c r="BN161" s="8"/>
      <c r="BO161" s="8"/>
      <c r="BP161" s="8"/>
      <c r="BQ161" s="8"/>
      <c r="BR161" s="8"/>
      <c r="BS161" s="8"/>
      <c r="BT161" s="8"/>
      <c r="BU161" s="8"/>
      <c r="BV161" s="8"/>
      <c r="BW161" s="8"/>
      <c r="BX161" s="8"/>
      <c r="BY161" s="8"/>
      <c r="BZ161" s="8"/>
      <c r="CA161" s="8"/>
      <c r="CB161" s="8"/>
      <c r="CC161" s="8"/>
      <c r="CD161" s="8"/>
      <c r="CE161" s="8"/>
      <c r="CF161" s="8"/>
      <c r="CG161" s="8"/>
      <c r="CH161" s="8"/>
      <c r="CI161" s="8"/>
      <c r="CJ161" s="8"/>
      <c r="CK161" s="8"/>
      <c r="CL161" s="8"/>
      <c r="CM161" s="8"/>
      <c r="CN161" s="8"/>
      <c r="CO161" s="8"/>
      <c r="CP161" s="8"/>
      <c r="CQ161" s="8"/>
      <c r="CR161" s="8"/>
    </row>
    <row r="162" spans="1:96" x14ac:dyDescent="0.25">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c r="AB162" s="8"/>
      <c r="AC162" s="8"/>
      <c r="AD162" s="8"/>
      <c r="AE162" s="8"/>
      <c r="AF162" s="8"/>
      <c r="AG162" s="8"/>
      <c r="AH162" s="8"/>
      <c r="AI162" s="8"/>
      <c r="AJ162" s="8"/>
      <c r="AK162" s="8"/>
      <c r="AL162" s="8"/>
      <c r="AM162" s="8"/>
      <c r="AN162" s="8"/>
      <c r="AO162" s="8"/>
      <c r="AP162" s="8"/>
      <c r="AQ162" s="8"/>
      <c r="AR162" s="8"/>
      <c r="AS162" s="8"/>
      <c r="AT162" s="8"/>
      <c r="AU162" s="8"/>
      <c r="AV162" s="8"/>
      <c r="AW162" s="8"/>
      <c r="AX162" s="8"/>
      <c r="AY162" s="8"/>
      <c r="AZ162" s="8"/>
      <c r="BA162" s="8"/>
      <c r="BB162" s="8"/>
      <c r="BC162" s="8"/>
      <c r="BD162" s="8"/>
      <c r="BE162" s="8"/>
      <c r="BF162" s="8"/>
      <c r="BG162" s="8"/>
      <c r="BH162" s="8"/>
      <c r="BI162" s="8"/>
      <c r="BJ162" s="8"/>
      <c r="BK162" s="8"/>
      <c r="BL162" s="8"/>
      <c r="BM162" s="8"/>
      <c r="BN162" s="8"/>
      <c r="BO162" s="8"/>
      <c r="BP162" s="8"/>
      <c r="BQ162" s="8"/>
      <c r="BR162" s="8"/>
      <c r="BS162" s="8"/>
      <c r="BT162" s="8"/>
      <c r="BU162" s="8"/>
      <c r="BV162" s="8"/>
      <c r="BW162" s="8"/>
      <c r="BX162" s="8"/>
      <c r="BY162" s="8"/>
      <c r="BZ162" s="8"/>
      <c r="CA162" s="8"/>
      <c r="CB162" s="8"/>
      <c r="CC162" s="8"/>
      <c r="CD162" s="8"/>
      <c r="CE162" s="8"/>
      <c r="CF162" s="8"/>
      <c r="CG162" s="8"/>
      <c r="CH162" s="8"/>
      <c r="CI162" s="8"/>
      <c r="CJ162" s="8"/>
      <c r="CK162" s="8"/>
      <c r="CL162" s="8"/>
      <c r="CM162" s="8"/>
      <c r="CN162" s="8"/>
      <c r="CO162" s="8"/>
      <c r="CP162" s="8"/>
      <c r="CQ162" s="8"/>
      <c r="CR162" s="8"/>
    </row>
    <row r="163" spans="1:96" x14ac:dyDescent="0.25">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c r="AB163" s="8"/>
      <c r="AC163" s="8"/>
      <c r="AD163" s="8"/>
      <c r="AE163" s="8"/>
      <c r="AF163" s="8"/>
      <c r="AG163" s="8"/>
      <c r="AH163" s="8"/>
      <c r="AI163" s="8"/>
      <c r="AJ163" s="8"/>
      <c r="AK163" s="8"/>
      <c r="AL163" s="8"/>
      <c r="AM163" s="8"/>
      <c r="AN163" s="8"/>
      <c r="AO163" s="8"/>
      <c r="AP163" s="8"/>
      <c r="AQ163" s="8"/>
      <c r="AR163" s="8"/>
      <c r="AS163" s="8"/>
      <c r="AT163" s="8"/>
      <c r="AU163" s="8"/>
      <c r="AV163" s="8"/>
      <c r="AW163" s="8"/>
      <c r="AX163" s="8"/>
      <c r="AY163" s="8"/>
      <c r="AZ163" s="8"/>
      <c r="BA163" s="8"/>
      <c r="BB163" s="8"/>
      <c r="BC163" s="8"/>
      <c r="BD163" s="8"/>
      <c r="BE163" s="8"/>
      <c r="BF163" s="8"/>
      <c r="BG163" s="8"/>
      <c r="BH163" s="8"/>
      <c r="BI163" s="8"/>
      <c r="BJ163" s="8"/>
      <c r="BK163" s="8"/>
      <c r="BL163" s="8"/>
      <c r="BM163" s="8"/>
      <c r="BN163" s="8"/>
      <c r="BO163" s="8"/>
      <c r="BP163" s="8"/>
      <c r="BQ163" s="8"/>
      <c r="BR163" s="8"/>
      <c r="BS163" s="8"/>
      <c r="BT163" s="8"/>
      <c r="BU163" s="8"/>
      <c r="BV163" s="8"/>
      <c r="BW163" s="8"/>
      <c r="BX163" s="8"/>
      <c r="BY163" s="8"/>
      <c r="BZ163" s="8"/>
      <c r="CA163" s="8"/>
      <c r="CB163" s="8"/>
      <c r="CC163" s="8"/>
      <c r="CD163" s="8"/>
      <c r="CE163" s="8"/>
      <c r="CF163" s="8"/>
      <c r="CG163" s="8"/>
      <c r="CH163" s="8"/>
      <c r="CI163" s="8"/>
      <c r="CJ163" s="8"/>
      <c r="CK163" s="8"/>
      <c r="CL163" s="8"/>
      <c r="CM163" s="8"/>
      <c r="CN163" s="8"/>
      <c r="CO163" s="8"/>
      <c r="CP163" s="8"/>
      <c r="CQ163" s="8"/>
      <c r="CR163" s="8"/>
    </row>
    <row r="164" spans="1:96" x14ac:dyDescent="0.25">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c r="AB164" s="8"/>
      <c r="AC164" s="8"/>
      <c r="AD164" s="8"/>
      <c r="AE164" s="8"/>
      <c r="AF164" s="8"/>
      <c r="AG164" s="8"/>
      <c r="AH164" s="8"/>
      <c r="AI164" s="8"/>
      <c r="AJ164" s="8"/>
      <c r="AK164" s="8"/>
      <c r="AL164" s="8"/>
      <c r="AM164" s="8"/>
      <c r="AN164" s="8"/>
      <c r="AO164" s="8"/>
      <c r="AP164" s="8"/>
      <c r="AQ164" s="8"/>
      <c r="AR164" s="8"/>
      <c r="AS164" s="8"/>
      <c r="AT164" s="8"/>
      <c r="AU164" s="8"/>
      <c r="AV164" s="8"/>
      <c r="AW164" s="8"/>
      <c r="AX164" s="8"/>
      <c r="AY164" s="8"/>
      <c r="AZ164" s="8"/>
      <c r="BA164" s="8"/>
      <c r="BB164" s="8"/>
      <c r="BC164" s="8"/>
      <c r="BD164" s="8"/>
      <c r="BE164" s="8"/>
      <c r="BF164" s="8"/>
      <c r="BG164" s="8"/>
      <c r="BH164" s="8"/>
      <c r="BI164" s="8"/>
      <c r="BJ164" s="8"/>
      <c r="BK164" s="8"/>
      <c r="BL164" s="8"/>
      <c r="BM164" s="8"/>
      <c r="BN164" s="8"/>
      <c r="BO164" s="8"/>
      <c r="BP164" s="8"/>
      <c r="BQ164" s="8"/>
      <c r="BR164" s="8"/>
      <c r="BS164" s="8"/>
      <c r="BT164" s="8"/>
      <c r="BU164" s="8"/>
      <c r="BV164" s="8"/>
      <c r="BW164" s="8"/>
      <c r="BX164" s="8"/>
      <c r="BY164" s="8"/>
      <c r="BZ164" s="8"/>
      <c r="CA164" s="8"/>
      <c r="CB164" s="8"/>
      <c r="CC164" s="8"/>
      <c r="CD164" s="8"/>
      <c r="CE164" s="8"/>
      <c r="CF164" s="8"/>
      <c r="CG164" s="8"/>
      <c r="CH164" s="8"/>
      <c r="CI164" s="8"/>
      <c r="CJ164" s="8"/>
      <c r="CK164" s="8"/>
      <c r="CL164" s="8"/>
      <c r="CM164" s="8"/>
      <c r="CN164" s="8"/>
      <c r="CO164" s="8"/>
      <c r="CP164" s="8"/>
      <c r="CQ164" s="8"/>
      <c r="CR164" s="8"/>
    </row>
    <row r="165" spans="1:96" x14ac:dyDescent="0.2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c r="AB165" s="8"/>
      <c r="AC165" s="8"/>
      <c r="AD165" s="8"/>
      <c r="AE165" s="8"/>
      <c r="AF165" s="8"/>
      <c r="AG165" s="8"/>
      <c r="AH165" s="8"/>
      <c r="AI165" s="8"/>
      <c r="AJ165" s="8"/>
      <c r="AK165" s="8"/>
      <c r="AL165" s="8"/>
      <c r="AM165" s="8"/>
      <c r="AN165" s="8"/>
      <c r="AO165" s="8"/>
      <c r="AP165" s="8"/>
      <c r="AQ165" s="8"/>
      <c r="AR165" s="8"/>
      <c r="AS165" s="8"/>
      <c r="AT165" s="8"/>
      <c r="AU165" s="8"/>
      <c r="AV165" s="8"/>
      <c r="AW165" s="8"/>
      <c r="AX165" s="8"/>
      <c r="AY165" s="8"/>
      <c r="AZ165" s="8"/>
      <c r="BA165" s="8"/>
      <c r="BB165" s="8"/>
      <c r="BC165" s="8"/>
      <c r="BD165" s="8"/>
      <c r="BE165" s="8"/>
      <c r="BF165" s="8"/>
      <c r="BG165" s="8"/>
      <c r="BH165" s="8"/>
      <c r="BI165" s="8"/>
      <c r="BJ165" s="8"/>
      <c r="BK165" s="8"/>
      <c r="BL165" s="8"/>
      <c r="BM165" s="8"/>
      <c r="BN165" s="8"/>
      <c r="BO165" s="8"/>
      <c r="BP165" s="8"/>
      <c r="BQ165" s="8"/>
      <c r="BR165" s="8"/>
      <c r="BS165" s="8"/>
      <c r="BT165" s="8"/>
      <c r="BU165" s="8"/>
      <c r="BV165" s="8"/>
      <c r="BW165" s="8"/>
      <c r="BX165" s="8"/>
      <c r="BY165" s="8"/>
      <c r="BZ165" s="8"/>
      <c r="CA165" s="8"/>
      <c r="CB165" s="8"/>
      <c r="CC165" s="8"/>
      <c r="CD165" s="8"/>
      <c r="CE165" s="8"/>
      <c r="CF165" s="8"/>
      <c r="CG165" s="8"/>
      <c r="CH165" s="8"/>
      <c r="CI165" s="8"/>
      <c r="CJ165" s="8"/>
      <c r="CK165" s="8"/>
      <c r="CL165" s="8"/>
      <c r="CM165" s="8"/>
      <c r="CN165" s="8"/>
      <c r="CO165" s="8"/>
      <c r="CP165" s="8"/>
      <c r="CQ165" s="8"/>
      <c r="CR165" s="8"/>
    </row>
    <row r="166" spans="1:96" x14ac:dyDescent="0.25">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c r="AB166" s="8"/>
      <c r="AC166" s="8"/>
      <c r="AD166" s="8"/>
      <c r="AE166" s="8"/>
      <c r="AF166" s="8"/>
      <c r="AG166" s="8"/>
      <c r="AH166" s="8"/>
      <c r="AI166" s="8"/>
      <c r="AJ166" s="8"/>
      <c r="AK166" s="8"/>
      <c r="AL166" s="8"/>
      <c r="AM166" s="8"/>
      <c r="AN166" s="8"/>
      <c r="AO166" s="8"/>
      <c r="AP166" s="8"/>
      <c r="AQ166" s="8"/>
      <c r="AR166" s="8"/>
      <c r="AS166" s="8"/>
      <c r="AT166" s="8"/>
      <c r="AU166" s="8"/>
      <c r="AV166" s="8"/>
      <c r="AW166" s="8"/>
      <c r="AX166" s="8"/>
      <c r="AY166" s="8"/>
      <c r="AZ166" s="8"/>
      <c r="BA166" s="8"/>
      <c r="BB166" s="8"/>
      <c r="BC166" s="8"/>
      <c r="BD166" s="8"/>
      <c r="BE166" s="8"/>
      <c r="BF166" s="8"/>
      <c r="BG166" s="8"/>
      <c r="BH166" s="8"/>
      <c r="BI166" s="8"/>
      <c r="BJ166" s="8"/>
      <c r="BK166" s="8"/>
      <c r="BL166" s="8"/>
      <c r="BM166" s="8"/>
      <c r="BN166" s="8"/>
      <c r="BO166" s="8"/>
      <c r="BP166" s="8"/>
      <c r="BQ166" s="8"/>
      <c r="BR166" s="8"/>
      <c r="BS166" s="8"/>
      <c r="BT166" s="8"/>
      <c r="BU166" s="8"/>
      <c r="BV166" s="8"/>
      <c r="BW166" s="8"/>
      <c r="BX166" s="8"/>
      <c r="BY166" s="8"/>
      <c r="BZ166" s="8"/>
      <c r="CA166" s="8"/>
      <c r="CB166" s="8"/>
      <c r="CC166" s="8"/>
      <c r="CD166" s="8"/>
      <c r="CE166" s="8"/>
      <c r="CF166" s="8"/>
      <c r="CG166" s="8"/>
      <c r="CH166" s="8"/>
      <c r="CI166" s="8"/>
      <c r="CJ166" s="8"/>
      <c r="CK166" s="8"/>
      <c r="CL166" s="8"/>
      <c r="CM166" s="8"/>
      <c r="CN166" s="8"/>
      <c r="CO166" s="8"/>
      <c r="CP166" s="8"/>
      <c r="CQ166" s="8"/>
      <c r="CR166" s="8"/>
    </row>
    <row r="167" spans="1:96" x14ac:dyDescent="0.25">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c r="AB167" s="8"/>
      <c r="AC167" s="8"/>
      <c r="AD167" s="8"/>
      <c r="AE167" s="8"/>
      <c r="AF167" s="8"/>
      <c r="AG167" s="8"/>
      <c r="AH167" s="8"/>
      <c r="AI167" s="8"/>
      <c r="AJ167" s="8"/>
      <c r="AK167" s="8"/>
      <c r="AL167" s="8"/>
      <c r="AM167" s="8"/>
      <c r="AN167" s="8"/>
      <c r="AO167" s="8"/>
      <c r="AP167" s="8"/>
      <c r="AQ167" s="8"/>
      <c r="AR167" s="8"/>
      <c r="AS167" s="8"/>
      <c r="AT167" s="8"/>
      <c r="AU167" s="8"/>
      <c r="AV167" s="8"/>
      <c r="AW167" s="8"/>
      <c r="AX167" s="8"/>
      <c r="AY167" s="8"/>
      <c r="AZ167" s="8"/>
      <c r="BA167" s="8"/>
      <c r="BB167" s="8"/>
      <c r="BC167" s="8"/>
      <c r="BD167" s="8"/>
      <c r="BE167" s="8"/>
      <c r="BF167" s="8"/>
      <c r="BG167" s="8"/>
      <c r="BH167" s="8"/>
      <c r="BI167" s="8"/>
      <c r="BJ167" s="8"/>
      <c r="BK167" s="8"/>
      <c r="BL167" s="8"/>
      <c r="BM167" s="8"/>
      <c r="BN167" s="8"/>
      <c r="BO167" s="8"/>
      <c r="BP167" s="8"/>
      <c r="BQ167" s="8"/>
      <c r="BR167" s="8"/>
      <c r="BS167" s="8"/>
      <c r="BT167" s="8"/>
      <c r="BU167" s="8"/>
      <c r="BV167" s="8"/>
      <c r="BW167" s="8"/>
      <c r="BX167" s="8"/>
      <c r="BY167" s="8"/>
      <c r="BZ167" s="8"/>
      <c r="CA167" s="8"/>
      <c r="CB167" s="8"/>
      <c r="CC167" s="8"/>
      <c r="CD167" s="8"/>
      <c r="CE167" s="8"/>
      <c r="CF167" s="8"/>
      <c r="CG167" s="8"/>
      <c r="CH167" s="8"/>
      <c r="CI167" s="8"/>
      <c r="CJ167" s="8"/>
      <c r="CK167" s="8"/>
      <c r="CL167" s="8"/>
      <c r="CM167" s="8"/>
      <c r="CN167" s="8"/>
      <c r="CO167" s="8"/>
      <c r="CP167" s="8"/>
      <c r="CQ167" s="8"/>
      <c r="CR167" s="8"/>
    </row>
    <row r="168" spans="1:96" x14ac:dyDescent="0.25">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c r="AB168" s="8"/>
      <c r="AC168" s="8"/>
      <c r="AD168" s="8"/>
      <c r="AE168" s="8"/>
      <c r="AF168" s="8"/>
      <c r="AG168" s="8"/>
      <c r="AH168" s="8"/>
      <c r="AI168" s="8"/>
      <c r="AJ168" s="8"/>
      <c r="AK168" s="8"/>
      <c r="AL168" s="8"/>
      <c r="AM168" s="8"/>
      <c r="AN168" s="8"/>
      <c r="AO168" s="8"/>
      <c r="AP168" s="8"/>
      <c r="AQ168" s="8"/>
      <c r="AR168" s="8"/>
      <c r="AS168" s="8"/>
      <c r="AT168" s="8"/>
      <c r="AU168" s="8"/>
      <c r="AV168" s="8"/>
      <c r="AW168" s="8"/>
      <c r="AX168" s="8"/>
      <c r="AY168" s="8"/>
      <c r="AZ168" s="8"/>
      <c r="BA168" s="8"/>
      <c r="BB168" s="8"/>
      <c r="BC168" s="8"/>
      <c r="BD168" s="8"/>
      <c r="BE168" s="8"/>
      <c r="BF168" s="8"/>
      <c r="BG168" s="8"/>
      <c r="BH168" s="8"/>
      <c r="BI168" s="8"/>
      <c r="BJ168" s="8"/>
      <c r="BK168" s="8"/>
      <c r="BL168" s="8"/>
      <c r="BM168" s="8"/>
      <c r="BN168" s="8"/>
      <c r="BO168" s="8"/>
      <c r="BP168" s="8"/>
      <c r="BQ168" s="8"/>
      <c r="BR168" s="8"/>
      <c r="BS168" s="8"/>
      <c r="BT168" s="8"/>
      <c r="BU168" s="8"/>
      <c r="BV168" s="8"/>
      <c r="BW168" s="8"/>
      <c r="BX168" s="8"/>
      <c r="BY168" s="8"/>
      <c r="BZ168" s="8"/>
      <c r="CA168" s="8"/>
      <c r="CB168" s="8"/>
      <c r="CC168" s="8"/>
      <c r="CD168" s="8"/>
      <c r="CE168" s="8"/>
      <c r="CF168" s="8"/>
      <c r="CG168" s="8"/>
      <c r="CH168" s="8"/>
      <c r="CI168" s="8"/>
      <c r="CJ168" s="8"/>
      <c r="CK168" s="8"/>
      <c r="CL168" s="8"/>
      <c r="CM168" s="8"/>
      <c r="CN168" s="8"/>
      <c r="CO168" s="8"/>
      <c r="CP168" s="8"/>
      <c r="CQ168" s="8"/>
      <c r="CR168" s="8"/>
    </row>
    <row r="169" spans="1:96" x14ac:dyDescent="0.25">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c r="AB169" s="8"/>
      <c r="AC169" s="8"/>
      <c r="AD169" s="8"/>
      <c r="AE169" s="8"/>
      <c r="AF169" s="8"/>
      <c r="AG169" s="8"/>
      <c r="AH169" s="8"/>
      <c r="AI169" s="8"/>
      <c r="AJ169" s="8"/>
      <c r="AK169" s="8"/>
      <c r="AL169" s="8"/>
      <c r="AM169" s="8"/>
      <c r="AN169" s="8"/>
      <c r="AO169" s="8"/>
      <c r="AP169" s="8"/>
      <c r="AQ169" s="8"/>
      <c r="AR169" s="8"/>
      <c r="AS169" s="8"/>
      <c r="AT169" s="8"/>
      <c r="AU169" s="8"/>
      <c r="AV169" s="8"/>
      <c r="AW169" s="8"/>
      <c r="AX169" s="8"/>
      <c r="AY169" s="8"/>
      <c r="AZ169" s="8"/>
      <c r="BA169" s="8"/>
      <c r="BB169" s="8"/>
      <c r="BC169" s="8"/>
      <c r="BD169" s="8"/>
      <c r="BE169" s="8"/>
      <c r="BF169" s="8"/>
      <c r="BG169" s="8"/>
      <c r="BH169" s="8"/>
      <c r="BI169" s="8"/>
      <c r="BJ169" s="8"/>
      <c r="BK169" s="8"/>
      <c r="BL169" s="8"/>
      <c r="BM169" s="8"/>
      <c r="BN169" s="8"/>
      <c r="BO169" s="8"/>
      <c r="BP169" s="8"/>
      <c r="BQ169" s="8"/>
      <c r="BR169" s="8"/>
      <c r="BS169" s="8"/>
      <c r="BT169" s="8"/>
      <c r="BU169" s="8"/>
      <c r="BV169" s="8"/>
      <c r="BW169" s="8"/>
      <c r="BX169" s="8"/>
      <c r="BY169" s="8"/>
      <c r="BZ169" s="8"/>
      <c r="CA169" s="8"/>
      <c r="CB169" s="8"/>
      <c r="CC169" s="8"/>
      <c r="CD169" s="8"/>
      <c r="CE169" s="8"/>
      <c r="CF169" s="8"/>
      <c r="CG169" s="8"/>
      <c r="CH169" s="8"/>
      <c r="CI169" s="8"/>
      <c r="CJ169" s="8"/>
      <c r="CK169" s="8"/>
      <c r="CL169" s="8"/>
      <c r="CM169" s="8"/>
      <c r="CN169" s="8"/>
      <c r="CO169" s="8"/>
      <c r="CP169" s="8"/>
      <c r="CQ169" s="8"/>
      <c r="CR169" s="8"/>
    </row>
    <row r="170" spans="1:96" x14ac:dyDescent="0.25">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c r="AB170" s="8"/>
      <c r="AC170" s="8"/>
      <c r="AD170" s="8"/>
      <c r="AE170" s="8"/>
      <c r="AF170" s="8"/>
      <c r="AG170" s="8"/>
      <c r="AH170" s="8"/>
      <c r="AI170" s="8"/>
      <c r="AJ170" s="8"/>
      <c r="AK170" s="8"/>
      <c r="AL170" s="8"/>
      <c r="AM170" s="8"/>
      <c r="AN170" s="8"/>
      <c r="AO170" s="8"/>
      <c r="AP170" s="8"/>
      <c r="AQ170" s="8"/>
      <c r="AR170" s="8"/>
      <c r="AS170" s="8"/>
      <c r="AT170" s="8"/>
      <c r="AU170" s="8"/>
      <c r="AV170" s="8"/>
      <c r="AW170" s="8"/>
      <c r="AX170" s="8"/>
      <c r="AY170" s="8"/>
      <c r="AZ170" s="8"/>
      <c r="BA170" s="8"/>
      <c r="BB170" s="8"/>
      <c r="BC170" s="8"/>
      <c r="BD170" s="8"/>
      <c r="BE170" s="8"/>
      <c r="BF170" s="8"/>
      <c r="BG170" s="8"/>
      <c r="BH170" s="8"/>
      <c r="BI170" s="8"/>
      <c r="BJ170" s="8"/>
      <c r="BK170" s="8"/>
      <c r="BL170" s="8"/>
      <c r="BM170" s="8"/>
      <c r="BN170" s="8"/>
      <c r="BO170" s="8"/>
      <c r="BP170" s="8"/>
      <c r="BQ170" s="8"/>
      <c r="BR170" s="8"/>
      <c r="BS170" s="8"/>
      <c r="BT170" s="8"/>
      <c r="BU170" s="8"/>
      <c r="BV170" s="8"/>
      <c r="BW170" s="8"/>
      <c r="BX170" s="8"/>
      <c r="BY170" s="8"/>
      <c r="BZ170" s="8"/>
      <c r="CA170" s="8"/>
      <c r="CB170" s="8"/>
      <c r="CC170" s="8"/>
      <c r="CD170" s="8"/>
      <c r="CE170" s="8"/>
      <c r="CF170" s="8"/>
      <c r="CG170" s="8"/>
      <c r="CH170" s="8"/>
      <c r="CI170" s="8"/>
      <c r="CJ170" s="8"/>
      <c r="CK170" s="8"/>
      <c r="CL170" s="8"/>
      <c r="CM170" s="8"/>
      <c r="CN170" s="8"/>
      <c r="CO170" s="8"/>
      <c r="CP170" s="8"/>
      <c r="CQ170" s="8"/>
      <c r="CR170" s="8"/>
    </row>
    <row r="171" spans="1:96" x14ac:dyDescent="0.25">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c r="AB171" s="8"/>
      <c r="AC171" s="8"/>
      <c r="AD171" s="8"/>
      <c r="AE171" s="8"/>
      <c r="AF171" s="8"/>
      <c r="AG171" s="8"/>
      <c r="AH171" s="8"/>
      <c r="AI171" s="8"/>
      <c r="AJ171" s="8"/>
      <c r="AK171" s="8"/>
      <c r="AL171" s="8"/>
      <c r="AM171" s="8"/>
      <c r="AN171" s="8"/>
      <c r="AO171" s="8"/>
      <c r="AP171" s="8"/>
      <c r="AQ171" s="8"/>
      <c r="AR171" s="8"/>
      <c r="AS171" s="8"/>
      <c r="AT171" s="8"/>
      <c r="AU171" s="8"/>
      <c r="AV171" s="8"/>
      <c r="AW171" s="8"/>
      <c r="AX171" s="8"/>
      <c r="AY171" s="8"/>
      <c r="AZ171" s="8"/>
      <c r="BA171" s="8"/>
      <c r="BB171" s="8"/>
      <c r="BC171" s="8"/>
      <c r="BD171" s="8"/>
      <c r="BE171" s="8"/>
      <c r="BF171" s="8"/>
      <c r="BG171" s="8"/>
      <c r="BH171" s="8"/>
      <c r="BI171" s="8"/>
      <c r="BJ171" s="8"/>
      <c r="BK171" s="8"/>
      <c r="BL171" s="8"/>
      <c r="BM171" s="8"/>
      <c r="BN171" s="8"/>
      <c r="BO171" s="8"/>
      <c r="BP171" s="8"/>
      <c r="BQ171" s="8"/>
      <c r="BR171" s="8"/>
      <c r="BS171" s="8"/>
      <c r="BT171" s="8"/>
      <c r="BU171" s="8"/>
      <c r="BV171" s="8"/>
      <c r="BW171" s="8"/>
      <c r="BX171" s="8"/>
      <c r="BY171" s="8"/>
      <c r="BZ171" s="8"/>
      <c r="CA171" s="8"/>
      <c r="CB171" s="8"/>
      <c r="CC171" s="8"/>
      <c r="CD171" s="8"/>
      <c r="CE171" s="8"/>
      <c r="CF171" s="8"/>
      <c r="CG171" s="8"/>
      <c r="CH171" s="8"/>
      <c r="CI171" s="8"/>
      <c r="CJ171" s="8"/>
      <c r="CK171" s="8"/>
      <c r="CL171" s="8"/>
      <c r="CM171" s="8"/>
      <c r="CN171" s="8"/>
      <c r="CO171" s="8"/>
      <c r="CP171" s="8"/>
      <c r="CQ171" s="8"/>
      <c r="CR171" s="8"/>
    </row>
    <row r="172" spans="1:96" x14ac:dyDescent="0.25">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c r="AB172" s="8"/>
      <c r="AC172" s="8"/>
      <c r="AD172" s="8"/>
      <c r="AE172" s="8"/>
      <c r="AF172" s="8"/>
      <c r="AG172" s="8"/>
      <c r="AH172" s="8"/>
      <c r="AI172" s="8"/>
      <c r="AJ172" s="8"/>
      <c r="AK172" s="8"/>
      <c r="AL172" s="8"/>
      <c r="AM172" s="8"/>
      <c r="AN172" s="8"/>
      <c r="AO172" s="8"/>
      <c r="AP172" s="8"/>
      <c r="AQ172" s="8"/>
      <c r="AR172" s="8"/>
      <c r="AS172" s="8"/>
      <c r="AT172" s="8"/>
      <c r="AU172" s="8"/>
      <c r="AV172" s="8"/>
      <c r="AW172" s="8"/>
      <c r="AX172" s="8"/>
      <c r="AY172" s="8"/>
      <c r="AZ172" s="8"/>
      <c r="BA172" s="8"/>
      <c r="BB172" s="8"/>
      <c r="BC172" s="8"/>
      <c r="BD172" s="8"/>
      <c r="BE172" s="8"/>
      <c r="BF172" s="8"/>
      <c r="BG172" s="8"/>
      <c r="BH172" s="8"/>
      <c r="BI172" s="8"/>
      <c r="BJ172" s="8"/>
      <c r="BK172" s="8"/>
      <c r="BL172" s="8"/>
      <c r="BM172" s="8"/>
      <c r="BN172" s="8"/>
      <c r="BO172" s="8"/>
      <c r="BP172" s="8"/>
      <c r="BQ172" s="8"/>
      <c r="BR172" s="8"/>
      <c r="BS172" s="8"/>
      <c r="BT172" s="8"/>
      <c r="BU172" s="8"/>
      <c r="BV172" s="8"/>
      <c r="BW172" s="8"/>
      <c r="BX172" s="8"/>
      <c r="BY172" s="8"/>
      <c r="BZ172" s="8"/>
      <c r="CA172" s="8"/>
      <c r="CB172" s="8"/>
      <c r="CC172" s="8"/>
      <c r="CD172" s="8"/>
      <c r="CE172" s="8"/>
      <c r="CF172" s="8"/>
      <c r="CG172" s="8"/>
      <c r="CH172" s="8"/>
      <c r="CI172" s="8"/>
      <c r="CJ172" s="8"/>
      <c r="CK172" s="8"/>
      <c r="CL172" s="8"/>
      <c r="CM172" s="8"/>
      <c r="CN172" s="8"/>
      <c r="CO172" s="8"/>
      <c r="CP172" s="8"/>
      <c r="CQ172" s="8"/>
      <c r="CR172" s="8"/>
    </row>
    <row r="173" spans="1:96" x14ac:dyDescent="0.25">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c r="AB173" s="8"/>
      <c r="AC173" s="8"/>
      <c r="AD173" s="8"/>
      <c r="AE173" s="8"/>
      <c r="AF173" s="8"/>
      <c r="AG173" s="8"/>
      <c r="AH173" s="8"/>
      <c r="AI173" s="8"/>
      <c r="AJ173" s="8"/>
      <c r="AK173" s="8"/>
      <c r="AL173" s="8"/>
      <c r="AM173" s="8"/>
      <c r="AN173" s="8"/>
      <c r="AO173" s="8"/>
      <c r="AP173" s="8"/>
      <c r="AQ173" s="8"/>
      <c r="AR173" s="8"/>
      <c r="AS173" s="8"/>
      <c r="AT173" s="8"/>
      <c r="AU173" s="8"/>
      <c r="AV173" s="8"/>
      <c r="AW173" s="8"/>
      <c r="AX173" s="8"/>
      <c r="AY173" s="8"/>
      <c r="AZ173" s="8"/>
      <c r="BA173" s="8"/>
      <c r="BB173" s="8"/>
      <c r="BC173" s="8"/>
      <c r="BD173" s="8"/>
      <c r="BE173" s="8"/>
      <c r="BF173" s="8"/>
      <c r="BG173" s="8"/>
      <c r="BH173" s="8"/>
      <c r="BI173" s="8"/>
      <c r="BJ173" s="8"/>
      <c r="BK173" s="8"/>
      <c r="BL173" s="8"/>
      <c r="BM173" s="8"/>
      <c r="BN173" s="8"/>
      <c r="BO173" s="8"/>
      <c r="BP173" s="8"/>
      <c r="BQ173" s="8"/>
      <c r="BR173" s="8"/>
      <c r="BS173" s="8"/>
      <c r="BT173" s="8"/>
      <c r="BU173" s="8"/>
      <c r="BV173" s="8"/>
      <c r="BW173" s="8"/>
      <c r="BX173" s="8"/>
      <c r="BY173" s="8"/>
      <c r="BZ173" s="8"/>
      <c r="CA173" s="8"/>
      <c r="CB173" s="8"/>
      <c r="CC173" s="8"/>
      <c r="CD173" s="8"/>
      <c r="CE173" s="8"/>
      <c r="CF173" s="8"/>
      <c r="CG173" s="8"/>
      <c r="CH173" s="8"/>
      <c r="CI173" s="8"/>
      <c r="CJ173" s="8"/>
      <c r="CK173" s="8"/>
      <c r="CL173" s="8"/>
      <c r="CM173" s="8"/>
      <c r="CN173" s="8"/>
      <c r="CO173" s="8"/>
      <c r="CP173" s="8"/>
      <c r="CQ173" s="8"/>
      <c r="CR173" s="8"/>
    </row>
    <row r="174" spans="1:96" x14ac:dyDescent="0.25">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c r="AB174" s="8"/>
      <c r="AC174" s="8"/>
      <c r="AD174" s="8"/>
      <c r="AE174" s="8"/>
      <c r="AF174" s="8"/>
      <c r="AG174" s="8"/>
      <c r="AH174" s="8"/>
      <c r="AI174" s="8"/>
      <c r="AJ174" s="8"/>
      <c r="AK174" s="8"/>
      <c r="AL174" s="8"/>
      <c r="AM174" s="8"/>
      <c r="AN174" s="8"/>
      <c r="AO174" s="8"/>
      <c r="AP174" s="8"/>
      <c r="AQ174" s="8"/>
      <c r="AR174" s="8"/>
      <c r="AS174" s="8"/>
      <c r="AT174" s="8"/>
      <c r="AU174" s="8"/>
      <c r="AV174" s="8"/>
      <c r="AW174" s="8"/>
      <c r="AX174" s="8"/>
      <c r="AY174" s="8"/>
      <c r="AZ174" s="8"/>
      <c r="BA174" s="8"/>
      <c r="BB174" s="8"/>
      <c r="BC174" s="8"/>
      <c r="BD174" s="8"/>
      <c r="BE174" s="8"/>
      <c r="BF174" s="8"/>
      <c r="BG174" s="8"/>
      <c r="BH174" s="8"/>
      <c r="BI174" s="8"/>
      <c r="BJ174" s="8"/>
      <c r="BK174" s="8"/>
      <c r="BL174" s="8"/>
      <c r="BM174" s="8"/>
      <c r="BN174" s="8"/>
      <c r="BO174" s="8"/>
      <c r="BP174" s="8"/>
      <c r="BQ174" s="8"/>
      <c r="BR174" s="8"/>
      <c r="BS174" s="8"/>
      <c r="BT174" s="8"/>
      <c r="BU174" s="8"/>
      <c r="BV174" s="8"/>
      <c r="BW174" s="8"/>
      <c r="BX174" s="8"/>
      <c r="BY174" s="8"/>
      <c r="BZ174" s="8"/>
      <c r="CA174" s="8"/>
      <c r="CB174" s="8"/>
      <c r="CC174" s="8"/>
      <c r="CD174" s="8"/>
      <c r="CE174" s="8"/>
      <c r="CF174" s="8"/>
      <c r="CG174" s="8"/>
      <c r="CH174" s="8"/>
      <c r="CI174" s="8"/>
      <c r="CJ174" s="8"/>
      <c r="CK174" s="8"/>
      <c r="CL174" s="8"/>
      <c r="CM174" s="8"/>
      <c r="CN174" s="8"/>
      <c r="CO174" s="8"/>
      <c r="CP174" s="8"/>
      <c r="CQ174" s="8"/>
      <c r="CR174" s="8"/>
    </row>
    <row r="175" spans="1:96" x14ac:dyDescent="0.2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c r="AB175" s="8"/>
      <c r="AC175" s="8"/>
      <c r="AD175" s="8"/>
      <c r="AE175" s="8"/>
      <c r="AF175" s="8"/>
      <c r="AG175" s="8"/>
      <c r="AH175" s="8"/>
      <c r="AI175" s="8"/>
      <c r="AJ175" s="8"/>
      <c r="AK175" s="8"/>
      <c r="AL175" s="8"/>
      <c r="AM175" s="8"/>
      <c r="AN175" s="8"/>
      <c r="AO175" s="8"/>
      <c r="AP175" s="8"/>
      <c r="AQ175" s="8"/>
      <c r="AR175" s="8"/>
      <c r="AS175" s="8"/>
      <c r="AT175" s="8"/>
      <c r="AU175" s="8"/>
      <c r="AV175" s="8"/>
      <c r="AW175" s="8"/>
      <c r="AX175" s="8"/>
      <c r="AY175" s="8"/>
      <c r="AZ175" s="8"/>
      <c r="BA175" s="8"/>
      <c r="BB175" s="8"/>
      <c r="BC175" s="8"/>
      <c r="BD175" s="8"/>
      <c r="BE175" s="8"/>
      <c r="BF175" s="8"/>
      <c r="BG175" s="8"/>
      <c r="BH175" s="8"/>
      <c r="BI175" s="8"/>
      <c r="BJ175" s="8"/>
      <c r="BK175" s="8"/>
      <c r="BL175" s="8"/>
      <c r="BM175" s="8"/>
      <c r="BN175" s="8"/>
      <c r="BO175" s="8"/>
      <c r="BP175" s="8"/>
      <c r="BQ175" s="8"/>
      <c r="BR175" s="8"/>
      <c r="BS175" s="8"/>
      <c r="BT175" s="8"/>
      <c r="BU175" s="8"/>
      <c r="BV175" s="8"/>
      <c r="BW175" s="8"/>
      <c r="BX175" s="8"/>
      <c r="BY175" s="8"/>
      <c r="BZ175" s="8"/>
      <c r="CA175" s="8"/>
      <c r="CB175" s="8"/>
      <c r="CC175" s="8"/>
      <c r="CD175" s="8"/>
      <c r="CE175" s="8"/>
      <c r="CF175" s="8"/>
      <c r="CG175" s="8"/>
      <c r="CH175" s="8"/>
      <c r="CI175" s="8"/>
      <c r="CJ175" s="8"/>
      <c r="CK175" s="8"/>
      <c r="CL175" s="8"/>
      <c r="CM175" s="8"/>
      <c r="CN175" s="8"/>
      <c r="CO175" s="8"/>
      <c r="CP175" s="8"/>
      <c r="CQ175" s="8"/>
      <c r="CR175" s="8"/>
    </row>
    <row r="176" spans="1:96" x14ac:dyDescent="0.25">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c r="AB176" s="8"/>
      <c r="AC176" s="8"/>
      <c r="AD176" s="8"/>
      <c r="AE176" s="8"/>
      <c r="AF176" s="8"/>
      <c r="AG176" s="8"/>
      <c r="AH176" s="8"/>
      <c r="AI176" s="8"/>
      <c r="AJ176" s="8"/>
      <c r="AK176" s="8"/>
      <c r="AL176" s="8"/>
      <c r="AM176" s="8"/>
      <c r="AN176" s="8"/>
      <c r="AO176" s="8"/>
      <c r="AP176" s="8"/>
      <c r="AQ176" s="8"/>
      <c r="AR176" s="8"/>
      <c r="AS176" s="8"/>
      <c r="AT176" s="8"/>
      <c r="AU176" s="8"/>
      <c r="AV176" s="8"/>
      <c r="AW176" s="8"/>
      <c r="AX176" s="8"/>
      <c r="AY176" s="8"/>
      <c r="AZ176" s="8"/>
      <c r="BA176" s="8"/>
      <c r="BB176" s="8"/>
      <c r="BC176" s="8"/>
      <c r="BD176" s="8"/>
      <c r="BE176" s="8"/>
      <c r="BF176" s="8"/>
      <c r="BG176" s="8"/>
      <c r="BH176" s="8"/>
      <c r="BI176" s="8"/>
      <c r="BJ176" s="8"/>
      <c r="BK176" s="8"/>
      <c r="BL176" s="8"/>
      <c r="BM176" s="8"/>
      <c r="BN176" s="8"/>
      <c r="BO176" s="8"/>
      <c r="BP176" s="8"/>
      <c r="BQ176" s="8"/>
      <c r="BR176" s="8"/>
      <c r="BS176" s="8"/>
      <c r="BT176" s="8"/>
      <c r="BU176" s="8"/>
      <c r="BV176" s="8"/>
      <c r="BW176" s="8"/>
      <c r="BX176" s="8"/>
      <c r="BY176" s="8"/>
      <c r="BZ176" s="8"/>
      <c r="CA176" s="8"/>
      <c r="CB176" s="8"/>
      <c r="CC176" s="8"/>
      <c r="CD176" s="8"/>
      <c r="CE176" s="8"/>
      <c r="CF176" s="8"/>
      <c r="CG176" s="8"/>
      <c r="CH176" s="8"/>
      <c r="CI176" s="8"/>
      <c r="CJ176" s="8"/>
      <c r="CK176" s="8"/>
      <c r="CL176" s="8"/>
      <c r="CM176" s="8"/>
      <c r="CN176" s="8"/>
      <c r="CO176" s="8"/>
      <c r="CP176" s="8"/>
      <c r="CQ176" s="8"/>
      <c r="CR176" s="8"/>
    </row>
    <row r="177" spans="1:96" x14ac:dyDescent="0.25">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c r="AB177" s="8"/>
      <c r="AC177" s="8"/>
      <c r="AD177" s="8"/>
      <c r="AE177" s="8"/>
      <c r="AF177" s="8"/>
      <c r="AG177" s="8"/>
      <c r="AH177" s="8"/>
      <c r="AI177" s="8"/>
      <c r="AJ177" s="8"/>
      <c r="AK177" s="8"/>
      <c r="AL177" s="8"/>
      <c r="AM177" s="8"/>
      <c r="AN177" s="8"/>
      <c r="AO177" s="8"/>
      <c r="AP177" s="8"/>
      <c r="AQ177" s="8"/>
      <c r="AR177" s="8"/>
      <c r="AS177" s="8"/>
      <c r="AT177" s="8"/>
      <c r="AU177" s="8"/>
      <c r="AV177" s="8"/>
      <c r="AW177" s="8"/>
      <c r="AX177" s="8"/>
      <c r="AY177" s="8"/>
      <c r="AZ177" s="8"/>
      <c r="BA177" s="8"/>
      <c r="BB177" s="8"/>
      <c r="BC177" s="8"/>
      <c r="BD177" s="8"/>
      <c r="BE177" s="8"/>
      <c r="BF177" s="8"/>
      <c r="BG177" s="8"/>
      <c r="BH177" s="8"/>
      <c r="BI177" s="8"/>
      <c r="BJ177" s="8"/>
      <c r="BK177" s="8"/>
      <c r="BL177" s="8"/>
      <c r="BM177" s="8"/>
      <c r="BN177" s="8"/>
      <c r="BO177" s="8"/>
      <c r="BP177" s="8"/>
      <c r="BQ177" s="8"/>
      <c r="BR177" s="8"/>
      <c r="BS177" s="8"/>
      <c r="BT177" s="8"/>
      <c r="BU177" s="8"/>
      <c r="BV177" s="8"/>
      <c r="BW177" s="8"/>
      <c r="BX177" s="8"/>
      <c r="BY177" s="8"/>
      <c r="BZ177" s="8"/>
      <c r="CA177" s="8"/>
      <c r="CB177" s="8"/>
      <c r="CC177" s="8"/>
      <c r="CD177" s="8"/>
      <c r="CE177" s="8"/>
      <c r="CF177" s="8"/>
      <c r="CG177" s="8"/>
      <c r="CH177" s="8"/>
      <c r="CI177" s="8"/>
      <c r="CJ177" s="8"/>
      <c r="CK177" s="8"/>
      <c r="CL177" s="8"/>
      <c r="CM177" s="8"/>
      <c r="CN177" s="8"/>
      <c r="CO177" s="8"/>
      <c r="CP177" s="8"/>
      <c r="CQ177" s="8"/>
      <c r="CR177" s="8"/>
    </row>
    <row r="178" spans="1:96" x14ac:dyDescent="0.25">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c r="AB178" s="8"/>
      <c r="AC178" s="8"/>
      <c r="AD178" s="8"/>
      <c r="AE178" s="8"/>
      <c r="AF178" s="8"/>
      <c r="AG178" s="8"/>
      <c r="AH178" s="8"/>
      <c r="AI178" s="8"/>
      <c r="AJ178" s="8"/>
      <c r="AK178" s="8"/>
      <c r="AL178" s="8"/>
      <c r="AM178" s="8"/>
      <c r="AN178" s="8"/>
      <c r="AO178" s="8"/>
      <c r="AP178" s="8"/>
      <c r="AQ178" s="8"/>
      <c r="AR178" s="8"/>
      <c r="AS178" s="8"/>
      <c r="AT178" s="8"/>
      <c r="AU178" s="8"/>
      <c r="AV178" s="8"/>
      <c r="AW178" s="8"/>
      <c r="AX178" s="8"/>
      <c r="AY178" s="8"/>
      <c r="AZ178" s="8"/>
      <c r="BA178" s="8"/>
      <c r="BB178" s="8"/>
      <c r="BC178" s="8"/>
      <c r="BD178" s="8"/>
      <c r="BE178" s="8"/>
      <c r="BF178" s="8"/>
      <c r="BG178" s="8"/>
      <c r="BH178" s="8"/>
      <c r="BI178" s="8"/>
      <c r="BJ178" s="8"/>
      <c r="BK178" s="8"/>
      <c r="BL178" s="8"/>
      <c r="BM178" s="8"/>
      <c r="BN178" s="8"/>
      <c r="BO178" s="8"/>
      <c r="BP178" s="8"/>
      <c r="BQ178" s="8"/>
      <c r="BR178" s="8"/>
      <c r="BS178" s="8"/>
      <c r="BT178" s="8"/>
      <c r="BU178" s="8"/>
      <c r="BV178" s="8"/>
      <c r="BW178" s="8"/>
      <c r="BX178" s="8"/>
      <c r="BY178" s="8"/>
      <c r="BZ178" s="8"/>
      <c r="CA178" s="8"/>
      <c r="CB178" s="8"/>
      <c r="CC178" s="8"/>
      <c r="CD178" s="8"/>
      <c r="CE178" s="8"/>
      <c r="CF178" s="8"/>
      <c r="CG178" s="8"/>
      <c r="CH178" s="8"/>
      <c r="CI178" s="8"/>
      <c r="CJ178" s="8"/>
      <c r="CK178" s="8"/>
      <c r="CL178" s="8"/>
      <c r="CM178" s="8"/>
      <c r="CN178" s="8"/>
      <c r="CO178" s="8"/>
      <c r="CP178" s="8"/>
      <c r="CQ178" s="8"/>
      <c r="CR178" s="8"/>
    </row>
    <row r="179" spans="1:96" x14ac:dyDescent="0.25">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c r="AB179" s="8"/>
      <c r="AC179" s="8"/>
      <c r="AD179" s="8"/>
      <c r="AE179" s="8"/>
      <c r="AF179" s="8"/>
      <c r="AG179" s="8"/>
      <c r="AH179" s="8"/>
      <c r="AI179" s="8"/>
      <c r="AJ179" s="8"/>
      <c r="AK179" s="8"/>
      <c r="AL179" s="8"/>
      <c r="AM179" s="8"/>
      <c r="AN179" s="8"/>
      <c r="AO179" s="8"/>
      <c r="AP179" s="8"/>
      <c r="AQ179" s="8"/>
      <c r="AR179" s="8"/>
      <c r="AS179" s="8"/>
      <c r="AT179" s="8"/>
      <c r="AU179" s="8"/>
      <c r="AV179" s="8"/>
      <c r="AW179" s="8"/>
      <c r="AX179" s="8"/>
      <c r="AY179" s="8"/>
      <c r="AZ179" s="8"/>
      <c r="BA179" s="8"/>
      <c r="BB179" s="8"/>
      <c r="BC179" s="8"/>
      <c r="BD179" s="8"/>
      <c r="BE179" s="8"/>
      <c r="BF179" s="8"/>
      <c r="BG179" s="8"/>
      <c r="BH179" s="8"/>
      <c r="BI179" s="8"/>
      <c r="BJ179" s="8"/>
      <c r="BK179" s="8"/>
      <c r="BL179" s="8"/>
      <c r="BM179" s="8"/>
      <c r="BN179" s="8"/>
      <c r="BO179" s="8"/>
      <c r="BP179" s="8"/>
      <c r="BQ179" s="8"/>
      <c r="BR179" s="8"/>
      <c r="BS179" s="8"/>
      <c r="BT179" s="8"/>
      <c r="BU179" s="8"/>
      <c r="BV179" s="8"/>
      <c r="BW179" s="8"/>
      <c r="BX179" s="8"/>
      <c r="BY179" s="8"/>
      <c r="BZ179" s="8"/>
      <c r="CA179" s="8"/>
      <c r="CB179" s="8"/>
      <c r="CC179" s="8"/>
      <c r="CD179" s="8"/>
      <c r="CE179" s="8"/>
      <c r="CF179" s="8"/>
      <c r="CG179" s="8"/>
      <c r="CH179" s="8"/>
      <c r="CI179" s="8"/>
      <c r="CJ179" s="8"/>
      <c r="CK179" s="8"/>
      <c r="CL179" s="8"/>
      <c r="CM179" s="8"/>
      <c r="CN179" s="8"/>
      <c r="CO179" s="8"/>
      <c r="CP179" s="8"/>
      <c r="CQ179" s="8"/>
      <c r="CR179" s="8"/>
    </row>
    <row r="180" spans="1:96" x14ac:dyDescent="0.25">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c r="AB180" s="8"/>
      <c r="AC180" s="8"/>
      <c r="AD180" s="8"/>
      <c r="AE180" s="8"/>
      <c r="AF180" s="8"/>
      <c r="AG180" s="8"/>
      <c r="AH180" s="8"/>
      <c r="AI180" s="8"/>
      <c r="AJ180" s="8"/>
      <c r="AK180" s="8"/>
      <c r="AL180" s="8"/>
      <c r="AM180" s="8"/>
      <c r="AN180" s="8"/>
      <c r="AO180" s="8"/>
      <c r="AP180" s="8"/>
      <c r="AQ180" s="8"/>
      <c r="AR180" s="8"/>
      <c r="AS180" s="8"/>
      <c r="AT180" s="8"/>
      <c r="AU180" s="8"/>
      <c r="AV180" s="8"/>
      <c r="AW180" s="8"/>
      <c r="AX180" s="8"/>
      <c r="AY180" s="8"/>
      <c r="AZ180" s="8"/>
      <c r="BA180" s="8"/>
      <c r="BB180" s="8"/>
      <c r="BC180" s="8"/>
      <c r="BD180" s="8"/>
      <c r="BE180" s="8"/>
      <c r="BF180" s="8"/>
      <c r="BG180" s="8"/>
      <c r="BH180" s="8"/>
      <c r="BI180" s="8"/>
      <c r="BJ180" s="8"/>
      <c r="BK180" s="8"/>
      <c r="BL180" s="8"/>
      <c r="BM180" s="8"/>
      <c r="BN180" s="8"/>
      <c r="BO180" s="8"/>
      <c r="BP180" s="8"/>
      <c r="BQ180" s="8"/>
      <c r="BR180" s="8"/>
      <c r="BS180" s="8"/>
      <c r="BT180" s="8"/>
      <c r="BU180" s="8"/>
      <c r="BV180" s="8"/>
      <c r="BW180" s="8"/>
      <c r="BX180" s="8"/>
      <c r="BY180" s="8"/>
      <c r="BZ180" s="8"/>
      <c r="CA180" s="8"/>
      <c r="CB180" s="8"/>
      <c r="CC180" s="8"/>
      <c r="CD180" s="8"/>
      <c r="CE180" s="8"/>
      <c r="CF180" s="8"/>
      <c r="CG180" s="8"/>
      <c r="CH180" s="8"/>
      <c r="CI180" s="8"/>
      <c r="CJ180" s="8"/>
      <c r="CK180" s="8"/>
      <c r="CL180" s="8"/>
      <c r="CM180" s="8"/>
      <c r="CN180" s="8"/>
      <c r="CO180" s="8"/>
      <c r="CP180" s="8"/>
      <c r="CQ180" s="8"/>
      <c r="CR180" s="8"/>
    </row>
    <row r="181" spans="1:96" x14ac:dyDescent="0.25">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c r="AB181" s="8"/>
      <c r="AC181" s="8"/>
      <c r="AD181" s="8"/>
      <c r="AE181" s="8"/>
      <c r="AF181" s="8"/>
      <c r="AG181" s="8"/>
      <c r="AH181" s="8"/>
      <c r="AI181" s="8"/>
      <c r="AJ181" s="8"/>
      <c r="AK181" s="8"/>
      <c r="AL181" s="8"/>
      <c r="AM181" s="8"/>
      <c r="AN181" s="8"/>
      <c r="AO181" s="8"/>
      <c r="AP181" s="8"/>
      <c r="AQ181" s="8"/>
      <c r="AR181" s="8"/>
      <c r="AS181" s="8"/>
      <c r="AT181" s="8"/>
      <c r="AU181" s="8"/>
      <c r="AV181" s="8"/>
      <c r="AW181" s="8"/>
      <c r="AX181" s="8"/>
      <c r="AY181" s="8"/>
      <c r="AZ181" s="8"/>
      <c r="BA181" s="8"/>
      <c r="BB181" s="8"/>
      <c r="BC181" s="8"/>
      <c r="BD181" s="8"/>
      <c r="BE181" s="8"/>
      <c r="BF181" s="8"/>
      <c r="BG181" s="8"/>
      <c r="BH181" s="8"/>
      <c r="BI181" s="8"/>
      <c r="BJ181" s="8"/>
      <c r="BK181" s="8"/>
      <c r="BL181" s="8"/>
      <c r="BM181" s="8"/>
      <c r="BN181" s="8"/>
      <c r="BO181" s="8"/>
      <c r="BP181" s="8"/>
      <c r="BQ181" s="8"/>
      <c r="BR181" s="8"/>
      <c r="BS181" s="8"/>
      <c r="BT181" s="8"/>
      <c r="BU181" s="8"/>
      <c r="BV181" s="8"/>
      <c r="BW181" s="8"/>
      <c r="BX181" s="8"/>
      <c r="BY181" s="8"/>
      <c r="BZ181" s="8"/>
      <c r="CA181" s="8"/>
      <c r="CB181" s="8"/>
      <c r="CC181" s="8"/>
      <c r="CD181" s="8"/>
      <c r="CE181" s="8"/>
      <c r="CF181" s="8"/>
      <c r="CG181" s="8"/>
      <c r="CH181" s="8"/>
      <c r="CI181" s="8"/>
      <c r="CJ181" s="8"/>
      <c r="CK181" s="8"/>
      <c r="CL181" s="8"/>
      <c r="CM181" s="8"/>
      <c r="CN181" s="8"/>
      <c r="CO181" s="8"/>
      <c r="CP181" s="8"/>
      <c r="CQ181" s="8"/>
      <c r="CR181" s="8"/>
    </row>
    <row r="182" spans="1:96" x14ac:dyDescent="0.25">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c r="AB182" s="8"/>
      <c r="AC182" s="8"/>
      <c r="AD182" s="8"/>
      <c r="AE182" s="8"/>
      <c r="AF182" s="8"/>
      <c r="AG182" s="8"/>
      <c r="AH182" s="8"/>
      <c r="AI182" s="8"/>
      <c r="AJ182" s="8"/>
      <c r="AK182" s="8"/>
      <c r="AL182" s="8"/>
      <c r="AM182" s="8"/>
      <c r="AN182" s="8"/>
      <c r="AO182" s="8"/>
      <c r="AP182" s="8"/>
      <c r="AQ182" s="8"/>
      <c r="AR182" s="8"/>
      <c r="AS182" s="8"/>
      <c r="AT182" s="8"/>
      <c r="AU182" s="8"/>
      <c r="AV182" s="8"/>
      <c r="AW182" s="8"/>
      <c r="AX182" s="8"/>
      <c r="AY182" s="8"/>
      <c r="AZ182" s="8"/>
      <c r="BA182" s="8"/>
      <c r="BB182" s="8"/>
      <c r="BC182" s="8"/>
      <c r="BD182" s="8"/>
      <c r="BE182" s="8"/>
      <c r="BF182" s="8"/>
      <c r="BG182" s="8"/>
      <c r="BH182" s="8"/>
      <c r="BI182" s="8"/>
      <c r="BJ182" s="8"/>
      <c r="BK182" s="8"/>
      <c r="BL182" s="8"/>
      <c r="BM182" s="8"/>
      <c r="BN182" s="8"/>
      <c r="BO182" s="8"/>
      <c r="BP182" s="8"/>
      <c r="BQ182" s="8"/>
      <c r="BR182" s="8"/>
      <c r="BS182" s="8"/>
      <c r="BT182" s="8"/>
      <c r="BU182" s="8"/>
      <c r="BV182" s="8"/>
      <c r="BW182" s="8"/>
      <c r="BX182" s="8"/>
      <c r="BY182" s="8"/>
      <c r="BZ182" s="8"/>
      <c r="CA182" s="8"/>
      <c r="CB182" s="8"/>
      <c r="CC182" s="8"/>
      <c r="CD182" s="8"/>
      <c r="CE182" s="8"/>
      <c r="CF182" s="8"/>
      <c r="CG182" s="8"/>
      <c r="CH182" s="8"/>
      <c r="CI182" s="8"/>
      <c r="CJ182" s="8"/>
      <c r="CK182" s="8"/>
      <c r="CL182" s="8"/>
      <c r="CM182" s="8"/>
      <c r="CN182" s="8"/>
      <c r="CO182" s="8"/>
      <c r="CP182" s="8"/>
      <c r="CQ182" s="8"/>
      <c r="CR182" s="8"/>
    </row>
    <row r="183" spans="1:96" x14ac:dyDescent="0.25">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c r="AB183" s="8"/>
      <c r="AC183" s="8"/>
      <c r="AD183" s="8"/>
      <c r="AE183" s="8"/>
      <c r="AF183" s="8"/>
      <c r="AG183" s="8"/>
      <c r="AH183" s="8"/>
      <c r="AI183" s="8"/>
      <c r="AJ183" s="8"/>
      <c r="AK183" s="8"/>
      <c r="AL183" s="8"/>
      <c r="AM183" s="8"/>
      <c r="AN183" s="8"/>
      <c r="AO183" s="8"/>
      <c r="AP183" s="8"/>
      <c r="AQ183" s="8"/>
      <c r="AR183" s="8"/>
      <c r="AS183" s="8"/>
      <c r="AT183" s="8"/>
      <c r="AU183" s="8"/>
      <c r="AV183" s="8"/>
      <c r="AW183" s="8"/>
      <c r="AX183" s="8"/>
      <c r="AY183" s="8"/>
      <c r="AZ183" s="8"/>
      <c r="BA183" s="8"/>
      <c r="BB183" s="8"/>
      <c r="BC183" s="8"/>
      <c r="BD183" s="8"/>
      <c r="BE183" s="8"/>
      <c r="BF183" s="8"/>
      <c r="BG183" s="8"/>
      <c r="BH183" s="8"/>
      <c r="BI183" s="8"/>
      <c r="BJ183" s="8"/>
      <c r="BK183" s="8"/>
      <c r="BL183" s="8"/>
      <c r="BM183" s="8"/>
      <c r="BN183" s="8"/>
      <c r="BO183" s="8"/>
      <c r="BP183" s="8"/>
      <c r="BQ183" s="8"/>
      <c r="BR183" s="8"/>
      <c r="BS183" s="8"/>
      <c r="BT183" s="8"/>
      <c r="BU183" s="8"/>
      <c r="BV183" s="8"/>
      <c r="BW183" s="8"/>
      <c r="BX183" s="8"/>
      <c r="BY183" s="8"/>
      <c r="BZ183" s="8"/>
      <c r="CA183" s="8"/>
      <c r="CB183" s="8"/>
      <c r="CC183" s="8"/>
      <c r="CD183" s="8"/>
      <c r="CE183" s="8"/>
      <c r="CF183" s="8"/>
      <c r="CG183" s="8"/>
      <c r="CH183" s="8"/>
      <c r="CI183" s="8"/>
      <c r="CJ183" s="8"/>
      <c r="CK183" s="8"/>
      <c r="CL183" s="8"/>
      <c r="CM183" s="8"/>
      <c r="CN183" s="8"/>
      <c r="CO183" s="8"/>
      <c r="CP183" s="8"/>
      <c r="CQ183" s="8"/>
      <c r="CR183" s="8"/>
    </row>
    <row r="184" spans="1:96" x14ac:dyDescent="0.25">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c r="AB184" s="8"/>
      <c r="AC184" s="8"/>
      <c r="AD184" s="8"/>
      <c r="AE184" s="8"/>
      <c r="AF184" s="8"/>
      <c r="AG184" s="8"/>
      <c r="AH184" s="8"/>
      <c r="AI184" s="8"/>
      <c r="AJ184" s="8"/>
      <c r="AK184" s="8"/>
      <c r="AL184" s="8"/>
      <c r="AM184" s="8"/>
      <c r="AN184" s="8"/>
      <c r="AO184" s="8"/>
      <c r="AP184" s="8"/>
      <c r="AQ184" s="8"/>
      <c r="AR184" s="8"/>
      <c r="AS184" s="8"/>
      <c r="AT184" s="8"/>
      <c r="AU184" s="8"/>
      <c r="AV184" s="8"/>
      <c r="AW184" s="8"/>
      <c r="AX184" s="8"/>
      <c r="AY184" s="8"/>
      <c r="AZ184" s="8"/>
      <c r="BA184" s="8"/>
      <c r="BB184" s="8"/>
      <c r="BC184" s="8"/>
      <c r="BD184" s="8"/>
      <c r="BE184" s="8"/>
      <c r="BF184" s="8"/>
      <c r="BG184" s="8"/>
      <c r="BH184" s="8"/>
      <c r="BI184" s="8"/>
      <c r="BJ184" s="8"/>
      <c r="BK184" s="8"/>
      <c r="BL184" s="8"/>
      <c r="BM184" s="8"/>
      <c r="BN184" s="8"/>
      <c r="BO184" s="8"/>
      <c r="BP184" s="8"/>
      <c r="BQ184" s="8"/>
      <c r="BR184" s="8"/>
      <c r="BS184" s="8"/>
      <c r="BT184" s="8"/>
      <c r="BU184" s="8"/>
      <c r="BV184" s="8"/>
      <c r="BW184" s="8"/>
      <c r="BX184" s="8"/>
      <c r="BY184" s="8"/>
      <c r="BZ184" s="8"/>
      <c r="CA184" s="8"/>
      <c r="CB184" s="8"/>
      <c r="CC184" s="8"/>
      <c r="CD184" s="8"/>
      <c r="CE184" s="8"/>
      <c r="CF184" s="8"/>
      <c r="CG184" s="8"/>
      <c r="CH184" s="8"/>
      <c r="CI184" s="8"/>
      <c r="CJ184" s="8"/>
      <c r="CK184" s="8"/>
      <c r="CL184" s="8"/>
      <c r="CM184" s="8"/>
      <c r="CN184" s="8"/>
      <c r="CO184" s="8"/>
      <c r="CP184" s="8"/>
      <c r="CQ184" s="8"/>
      <c r="CR184" s="8"/>
    </row>
    <row r="185" spans="1:96" x14ac:dyDescent="0.2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c r="AB185" s="8"/>
      <c r="AC185" s="8"/>
      <c r="AD185" s="8"/>
      <c r="AE185" s="8"/>
      <c r="AF185" s="8"/>
      <c r="AG185" s="8"/>
      <c r="AH185" s="8"/>
      <c r="AI185" s="8"/>
      <c r="AJ185" s="8"/>
      <c r="AK185" s="8"/>
      <c r="AL185" s="8"/>
      <c r="AM185" s="8"/>
      <c r="AN185" s="8"/>
      <c r="AO185" s="8"/>
      <c r="AP185" s="8"/>
      <c r="AQ185" s="8"/>
      <c r="AR185" s="8"/>
      <c r="AS185" s="8"/>
      <c r="AT185" s="8"/>
      <c r="AU185" s="8"/>
      <c r="AV185" s="8"/>
      <c r="AW185" s="8"/>
      <c r="AX185" s="8"/>
      <c r="AY185" s="8"/>
      <c r="AZ185" s="8"/>
      <c r="BA185" s="8"/>
      <c r="BB185" s="8"/>
      <c r="BC185" s="8"/>
      <c r="BD185" s="8"/>
      <c r="BE185" s="8"/>
      <c r="BF185" s="8"/>
      <c r="BG185" s="8"/>
      <c r="BH185" s="8"/>
      <c r="BI185" s="8"/>
      <c r="BJ185" s="8"/>
      <c r="BK185" s="8"/>
      <c r="BL185" s="8"/>
      <c r="BM185" s="8"/>
      <c r="BN185" s="8"/>
      <c r="BO185" s="8"/>
      <c r="BP185" s="8"/>
      <c r="BQ185" s="8"/>
      <c r="BR185" s="8"/>
      <c r="BS185" s="8"/>
      <c r="BT185" s="8"/>
      <c r="BU185" s="8"/>
      <c r="BV185" s="8"/>
      <c r="BW185" s="8"/>
      <c r="BX185" s="8"/>
      <c r="BY185" s="8"/>
      <c r="BZ185" s="8"/>
      <c r="CA185" s="8"/>
      <c r="CB185" s="8"/>
      <c r="CC185" s="8"/>
      <c r="CD185" s="8"/>
      <c r="CE185" s="8"/>
      <c r="CF185" s="8"/>
      <c r="CG185" s="8"/>
      <c r="CH185" s="8"/>
      <c r="CI185" s="8"/>
      <c r="CJ185" s="8"/>
      <c r="CK185" s="8"/>
      <c r="CL185" s="8"/>
      <c r="CM185" s="8"/>
      <c r="CN185" s="8"/>
      <c r="CO185" s="8"/>
      <c r="CP185" s="8"/>
      <c r="CQ185" s="8"/>
      <c r="CR185" s="8"/>
    </row>
    <row r="186" spans="1:96" x14ac:dyDescent="0.25">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c r="AB186" s="8"/>
      <c r="AC186" s="8"/>
      <c r="AD186" s="8"/>
      <c r="AE186" s="8"/>
      <c r="AF186" s="8"/>
      <c r="AG186" s="8"/>
      <c r="AH186" s="8"/>
      <c r="AI186" s="8"/>
      <c r="AJ186" s="8"/>
      <c r="AK186" s="8"/>
      <c r="AL186" s="8"/>
      <c r="AM186" s="8"/>
      <c r="AN186" s="8"/>
      <c r="AO186" s="8"/>
      <c r="AP186" s="8"/>
      <c r="AQ186" s="8"/>
      <c r="AR186" s="8"/>
      <c r="AS186" s="8"/>
      <c r="AT186" s="8"/>
      <c r="AU186" s="8"/>
      <c r="AV186" s="8"/>
      <c r="AW186" s="8"/>
      <c r="AX186" s="8"/>
      <c r="AY186" s="8"/>
      <c r="AZ186" s="8"/>
      <c r="BA186" s="8"/>
      <c r="BB186" s="8"/>
      <c r="BC186" s="8"/>
      <c r="BD186" s="8"/>
      <c r="BE186" s="8"/>
      <c r="BF186" s="8"/>
      <c r="BG186" s="8"/>
      <c r="BH186" s="8"/>
      <c r="BI186" s="8"/>
      <c r="BJ186" s="8"/>
      <c r="BK186" s="8"/>
      <c r="BL186" s="8"/>
      <c r="BM186" s="8"/>
      <c r="BN186" s="8"/>
      <c r="BO186" s="8"/>
      <c r="BP186" s="8"/>
      <c r="BQ186" s="8"/>
      <c r="BR186" s="8"/>
      <c r="BS186" s="8"/>
      <c r="BT186" s="8"/>
      <c r="BU186" s="8"/>
      <c r="BV186" s="8"/>
      <c r="BW186" s="8"/>
      <c r="BX186" s="8"/>
      <c r="BY186" s="8"/>
      <c r="BZ186" s="8"/>
      <c r="CA186" s="8"/>
      <c r="CB186" s="8"/>
      <c r="CC186" s="8"/>
      <c r="CD186" s="8"/>
      <c r="CE186" s="8"/>
      <c r="CF186" s="8"/>
      <c r="CG186" s="8"/>
      <c r="CH186" s="8"/>
      <c r="CI186" s="8"/>
      <c r="CJ186" s="8"/>
      <c r="CK186" s="8"/>
      <c r="CL186" s="8"/>
      <c r="CM186" s="8"/>
      <c r="CN186" s="8"/>
      <c r="CO186" s="8"/>
      <c r="CP186" s="8"/>
      <c r="CQ186" s="8"/>
      <c r="CR186" s="8"/>
    </row>
    <row r="187" spans="1:96" x14ac:dyDescent="0.25">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c r="AB187" s="8"/>
      <c r="AC187" s="8"/>
      <c r="AD187" s="8"/>
      <c r="AE187" s="8"/>
      <c r="AF187" s="8"/>
      <c r="AG187" s="8"/>
      <c r="AH187" s="8"/>
      <c r="AI187" s="8"/>
      <c r="AJ187" s="8"/>
      <c r="AK187" s="8"/>
      <c r="AL187" s="8"/>
      <c r="AM187" s="8"/>
      <c r="AN187" s="8"/>
      <c r="AO187" s="8"/>
      <c r="AP187" s="8"/>
      <c r="AQ187" s="8"/>
      <c r="AR187" s="8"/>
      <c r="AS187" s="8"/>
      <c r="AT187" s="8"/>
      <c r="AU187" s="8"/>
      <c r="AV187" s="8"/>
      <c r="AW187" s="8"/>
      <c r="AX187" s="8"/>
      <c r="AY187" s="8"/>
      <c r="AZ187" s="8"/>
      <c r="BA187" s="8"/>
      <c r="BB187" s="8"/>
      <c r="BC187" s="8"/>
      <c r="BD187" s="8"/>
      <c r="BE187" s="8"/>
      <c r="BF187" s="8"/>
      <c r="BG187" s="8"/>
      <c r="BH187" s="8"/>
      <c r="BI187" s="8"/>
      <c r="BJ187" s="8"/>
      <c r="BK187" s="8"/>
      <c r="BL187" s="8"/>
      <c r="BM187" s="8"/>
      <c r="BN187" s="8"/>
      <c r="BO187" s="8"/>
      <c r="BP187" s="8"/>
      <c r="BQ187" s="8"/>
      <c r="BR187" s="8"/>
      <c r="BS187" s="8"/>
      <c r="BT187" s="8"/>
      <c r="BU187" s="8"/>
      <c r="BV187" s="8"/>
      <c r="BW187" s="8"/>
      <c r="BX187" s="8"/>
      <c r="BY187" s="8"/>
      <c r="BZ187" s="8"/>
      <c r="CA187" s="8"/>
      <c r="CB187" s="8"/>
      <c r="CC187" s="8"/>
      <c r="CD187" s="8"/>
      <c r="CE187" s="8"/>
      <c r="CF187" s="8"/>
      <c r="CG187" s="8"/>
      <c r="CH187" s="8"/>
      <c r="CI187" s="8"/>
      <c r="CJ187" s="8"/>
      <c r="CK187" s="8"/>
      <c r="CL187" s="8"/>
      <c r="CM187" s="8"/>
      <c r="CN187" s="8"/>
      <c r="CO187" s="8"/>
      <c r="CP187" s="8"/>
      <c r="CQ187" s="8"/>
      <c r="CR187" s="8"/>
    </row>
    <row r="188" spans="1:96" x14ac:dyDescent="0.25">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c r="AB188" s="8"/>
      <c r="AC188" s="8"/>
      <c r="AD188" s="8"/>
      <c r="AE188" s="8"/>
      <c r="AF188" s="8"/>
      <c r="AG188" s="8"/>
      <c r="AH188" s="8"/>
      <c r="AI188" s="8"/>
      <c r="AJ188" s="8"/>
      <c r="AK188" s="8"/>
      <c r="AL188" s="8"/>
      <c r="AM188" s="8"/>
      <c r="AN188" s="8"/>
      <c r="AO188" s="8"/>
      <c r="AP188" s="8"/>
      <c r="AQ188" s="8"/>
      <c r="AR188" s="8"/>
      <c r="AS188" s="8"/>
      <c r="AT188" s="8"/>
      <c r="AU188" s="8"/>
      <c r="AV188" s="8"/>
      <c r="AW188" s="8"/>
      <c r="AX188" s="8"/>
      <c r="AY188" s="8"/>
      <c r="AZ188" s="8"/>
      <c r="BA188" s="8"/>
      <c r="BB188" s="8"/>
      <c r="BC188" s="8"/>
      <c r="BD188" s="8"/>
      <c r="BE188" s="8"/>
      <c r="BF188" s="8"/>
      <c r="BG188" s="8"/>
      <c r="BH188" s="8"/>
      <c r="BI188" s="8"/>
      <c r="BJ188" s="8"/>
      <c r="BK188" s="8"/>
      <c r="BL188" s="8"/>
      <c r="BM188" s="8"/>
      <c r="BN188" s="8"/>
      <c r="BO188" s="8"/>
      <c r="BP188" s="8"/>
      <c r="BQ188" s="8"/>
      <c r="BR188" s="8"/>
      <c r="BS188" s="8"/>
      <c r="BT188" s="8"/>
      <c r="BU188" s="8"/>
      <c r="BV188" s="8"/>
      <c r="BW188" s="8"/>
      <c r="BX188" s="8"/>
      <c r="BY188" s="8"/>
      <c r="BZ188" s="8"/>
      <c r="CA188" s="8"/>
      <c r="CB188" s="8"/>
      <c r="CC188" s="8"/>
      <c r="CD188" s="8"/>
      <c r="CE188" s="8"/>
      <c r="CF188" s="8"/>
      <c r="CG188" s="8"/>
      <c r="CH188" s="8"/>
      <c r="CI188" s="8"/>
      <c r="CJ188" s="8"/>
      <c r="CK188" s="8"/>
      <c r="CL188" s="8"/>
      <c r="CM188" s="8"/>
      <c r="CN188" s="8"/>
      <c r="CO188" s="8"/>
      <c r="CP188" s="8"/>
      <c r="CQ188" s="8"/>
      <c r="CR188" s="8"/>
    </row>
    <row r="189" spans="1:96" x14ac:dyDescent="0.25">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c r="AB189" s="8"/>
      <c r="AC189" s="8"/>
      <c r="AD189" s="8"/>
      <c r="AE189" s="8"/>
      <c r="AF189" s="8"/>
      <c r="AG189" s="8"/>
      <c r="AH189" s="8"/>
      <c r="AI189" s="8"/>
      <c r="AJ189" s="8"/>
      <c r="AK189" s="8"/>
      <c r="AL189" s="8"/>
      <c r="AM189" s="8"/>
      <c r="AN189" s="8"/>
      <c r="AO189" s="8"/>
      <c r="AP189" s="8"/>
      <c r="AQ189" s="8"/>
      <c r="AR189" s="8"/>
      <c r="AS189" s="8"/>
      <c r="AT189" s="8"/>
      <c r="AU189" s="8"/>
      <c r="AV189" s="8"/>
      <c r="AW189" s="8"/>
      <c r="AX189" s="8"/>
      <c r="AY189" s="8"/>
      <c r="AZ189" s="8"/>
      <c r="BA189" s="8"/>
      <c r="BB189" s="8"/>
      <c r="BC189" s="8"/>
      <c r="BD189" s="8"/>
      <c r="BE189" s="8"/>
      <c r="BF189" s="8"/>
      <c r="BG189" s="8"/>
      <c r="BH189" s="8"/>
      <c r="BI189" s="8"/>
      <c r="BJ189" s="8"/>
      <c r="BK189" s="8"/>
      <c r="BL189" s="8"/>
      <c r="BM189" s="8"/>
      <c r="BN189" s="8"/>
      <c r="BO189" s="8"/>
      <c r="BP189" s="8"/>
      <c r="BQ189" s="8"/>
      <c r="BR189" s="8"/>
      <c r="BS189" s="8"/>
      <c r="BT189" s="8"/>
      <c r="BU189" s="8"/>
      <c r="BV189" s="8"/>
      <c r="BW189" s="8"/>
      <c r="BX189" s="8"/>
      <c r="BY189" s="8"/>
      <c r="BZ189" s="8"/>
      <c r="CA189" s="8"/>
      <c r="CB189" s="8"/>
      <c r="CC189" s="8"/>
      <c r="CD189" s="8"/>
      <c r="CE189" s="8"/>
      <c r="CF189" s="8"/>
      <c r="CG189" s="8"/>
      <c r="CH189" s="8"/>
      <c r="CI189" s="8"/>
      <c r="CJ189" s="8"/>
      <c r="CK189" s="8"/>
      <c r="CL189" s="8"/>
      <c r="CM189" s="8"/>
      <c r="CN189" s="8"/>
      <c r="CO189" s="8"/>
      <c r="CP189" s="8"/>
      <c r="CQ189" s="8"/>
      <c r="CR189" s="8"/>
    </row>
    <row r="190" spans="1:96" x14ac:dyDescent="0.25">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c r="AB190" s="8"/>
      <c r="AC190" s="8"/>
      <c r="AD190" s="8"/>
      <c r="AE190" s="8"/>
      <c r="AF190" s="8"/>
      <c r="AG190" s="8"/>
      <c r="AH190" s="8"/>
      <c r="AI190" s="8"/>
      <c r="AJ190" s="8"/>
      <c r="AK190" s="8"/>
      <c r="AL190" s="8"/>
      <c r="AM190" s="8"/>
      <c r="AN190" s="8"/>
      <c r="AO190" s="8"/>
      <c r="AP190" s="8"/>
      <c r="AQ190" s="8"/>
      <c r="AR190" s="8"/>
      <c r="AS190" s="8"/>
      <c r="AT190" s="8"/>
      <c r="AU190" s="8"/>
      <c r="AV190" s="8"/>
      <c r="AW190" s="8"/>
      <c r="AX190" s="8"/>
      <c r="AY190" s="8"/>
      <c r="AZ190" s="8"/>
      <c r="BA190" s="8"/>
      <c r="BB190" s="8"/>
      <c r="BC190" s="8"/>
      <c r="BD190" s="8"/>
      <c r="BE190" s="8"/>
      <c r="BF190" s="8"/>
      <c r="BG190" s="8"/>
      <c r="BH190" s="8"/>
      <c r="BI190" s="8"/>
      <c r="BJ190" s="8"/>
      <c r="BK190" s="8"/>
      <c r="BL190" s="8"/>
      <c r="BM190" s="8"/>
      <c r="BN190" s="8"/>
      <c r="BO190" s="8"/>
      <c r="BP190" s="8"/>
      <c r="BQ190" s="8"/>
      <c r="BR190" s="8"/>
      <c r="BS190" s="8"/>
      <c r="BT190" s="8"/>
      <c r="BU190" s="8"/>
      <c r="BV190" s="8"/>
      <c r="BW190" s="8"/>
      <c r="BX190" s="8"/>
      <c r="BY190" s="8"/>
      <c r="BZ190" s="8"/>
      <c r="CA190" s="8"/>
      <c r="CB190" s="8"/>
      <c r="CC190" s="8"/>
      <c r="CD190" s="8"/>
      <c r="CE190" s="8"/>
      <c r="CF190" s="8"/>
      <c r="CG190" s="8"/>
      <c r="CH190" s="8"/>
      <c r="CI190" s="8"/>
      <c r="CJ190" s="8"/>
      <c r="CK190" s="8"/>
      <c r="CL190" s="8"/>
      <c r="CM190" s="8"/>
      <c r="CN190" s="8"/>
      <c r="CO190" s="8"/>
      <c r="CP190" s="8"/>
      <c r="CQ190" s="8"/>
      <c r="CR190" s="8"/>
    </row>
    <row r="191" spans="1:96" x14ac:dyDescent="0.25">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c r="AB191" s="8"/>
      <c r="AC191" s="8"/>
      <c r="AD191" s="8"/>
      <c r="AE191" s="8"/>
      <c r="AF191" s="8"/>
      <c r="AG191" s="8"/>
      <c r="AH191" s="8"/>
      <c r="AI191" s="8"/>
      <c r="AJ191" s="8"/>
      <c r="AK191" s="8"/>
      <c r="AL191" s="8"/>
      <c r="AM191" s="8"/>
      <c r="AN191" s="8"/>
      <c r="AO191" s="8"/>
      <c r="AP191" s="8"/>
      <c r="AQ191" s="8"/>
      <c r="AR191" s="8"/>
      <c r="AS191" s="8"/>
      <c r="AT191" s="8"/>
      <c r="AU191" s="8"/>
      <c r="AV191" s="8"/>
      <c r="AW191" s="8"/>
      <c r="AX191" s="8"/>
      <c r="AY191" s="8"/>
      <c r="AZ191" s="8"/>
      <c r="BA191" s="8"/>
      <c r="BB191" s="8"/>
      <c r="BC191" s="8"/>
      <c r="BD191" s="8"/>
      <c r="BE191" s="8"/>
      <c r="BF191" s="8"/>
      <c r="BG191" s="8"/>
      <c r="BH191" s="8"/>
      <c r="BI191" s="8"/>
      <c r="BJ191" s="8"/>
      <c r="BK191" s="8"/>
      <c r="BL191" s="8"/>
      <c r="BM191" s="8"/>
      <c r="BN191" s="8"/>
      <c r="BO191" s="8"/>
      <c r="BP191" s="8"/>
      <c r="BQ191" s="8"/>
      <c r="BR191" s="8"/>
      <c r="BS191" s="8"/>
      <c r="BT191" s="8"/>
      <c r="BU191" s="8"/>
      <c r="BV191" s="8"/>
      <c r="BW191" s="8"/>
      <c r="BX191" s="8"/>
      <c r="BY191" s="8"/>
      <c r="BZ191" s="8"/>
      <c r="CA191" s="8"/>
      <c r="CB191" s="8"/>
      <c r="CC191" s="8"/>
      <c r="CD191" s="8"/>
      <c r="CE191" s="8"/>
      <c r="CF191" s="8"/>
      <c r="CG191" s="8"/>
      <c r="CH191" s="8"/>
      <c r="CI191" s="8"/>
      <c r="CJ191" s="8"/>
      <c r="CK191" s="8"/>
      <c r="CL191" s="8"/>
      <c r="CM191" s="8"/>
      <c r="CN191" s="8"/>
      <c r="CO191" s="8"/>
      <c r="CP191" s="8"/>
      <c r="CQ191" s="8"/>
      <c r="CR191" s="8"/>
    </row>
    <row r="192" spans="1:96" x14ac:dyDescent="0.25">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c r="AB192" s="8"/>
      <c r="AC192" s="8"/>
      <c r="AD192" s="8"/>
      <c r="AE192" s="8"/>
      <c r="AF192" s="8"/>
      <c r="AG192" s="8"/>
      <c r="AH192" s="8"/>
      <c r="AI192" s="8"/>
      <c r="AJ192" s="8"/>
      <c r="AK192" s="8"/>
      <c r="AL192" s="8"/>
      <c r="AM192" s="8"/>
      <c r="AN192" s="8"/>
      <c r="AO192" s="8"/>
      <c r="AP192" s="8"/>
      <c r="AQ192" s="8"/>
      <c r="AR192" s="8"/>
      <c r="AS192" s="8"/>
      <c r="AT192" s="8"/>
      <c r="AU192" s="8"/>
      <c r="AV192" s="8"/>
      <c r="AW192" s="8"/>
      <c r="AX192" s="8"/>
      <c r="AY192" s="8"/>
      <c r="AZ192" s="8"/>
      <c r="BA192" s="8"/>
      <c r="BB192" s="8"/>
      <c r="BC192" s="8"/>
      <c r="BD192" s="8"/>
      <c r="BE192" s="8"/>
      <c r="BF192" s="8"/>
      <c r="BG192" s="8"/>
      <c r="BH192" s="8"/>
      <c r="BI192" s="8"/>
      <c r="BJ192" s="8"/>
      <c r="BK192" s="8"/>
      <c r="BL192" s="8"/>
      <c r="BM192" s="8"/>
      <c r="BN192" s="8"/>
      <c r="BO192" s="8"/>
      <c r="BP192" s="8"/>
      <c r="BQ192" s="8"/>
      <c r="BR192" s="8"/>
      <c r="BS192" s="8"/>
      <c r="BT192" s="8"/>
      <c r="BU192" s="8"/>
      <c r="BV192" s="8"/>
      <c r="BW192" s="8"/>
      <c r="BX192" s="8"/>
      <c r="BY192" s="8"/>
      <c r="BZ192" s="8"/>
      <c r="CA192" s="8"/>
      <c r="CB192" s="8"/>
      <c r="CC192" s="8"/>
      <c r="CD192" s="8"/>
      <c r="CE192" s="8"/>
      <c r="CF192" s="8"/>
      <c r="CG192" s="8"/>
      <c r="CH192" s="8"/>
      <c r="CI192" s="8"/>
      <c r="CJ192" s="8"/>
      <c r="CK192" s="8"/>
      <c r="CL192" s="8"/>
      <c r="CM192" s="8"/>
      <c r="CN192" s="8"/>
      <c r="CO192" s="8"/>
      <c r="CP192" s="8"/>
      <c r="CQ192" s="8"/>
      <c r="CR192" s="8"/>
    </row>
    <row r="193" spans="1:96" x14ac:dyDescent="0.25">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c r="AB193" s="8"/>
      <c r="AC193" s="8"/>
      <c r="AD193" s="8"/>
      <c r="AE193" s="8"/>
      <c r="AF193" s="8"/>
      <c r="AG193" s="8"/>
      <c r="AH193" s="8"/>
      <c r="AI193" s="8"/>
      <c r="AJ193" s="8"/>
      <c r="AK193" s="8"/>
      <c r="AL193" s="8"/>
      <c r="AM193" s="8"/>
      <c r="AN193" s="8"/>
      <c r="AO193" s="8"/>
      <c r="AP193" s="8"/>
      <c r="AQ193" s="8"/>
      <c r="AR193" s="8"/>
      <c r="AS193" s="8"/>
      <c r="AT193" s="8"/>
      <c r="AU193" s="8"/>
      <c r="AV193" s="8"/>
      <c r="AW193" s="8"/>
      <c r="AX193" s="8"/>
      <c r="AY193" s="8"/>
      <c r="AZ193" s="8"/>
      <c r="BA193" s="8"/>
      <c r="BB193" s="8"/>
      <c r="BC193" s="8"/>
      <c r="BD193" s="8"/>
      <c r="BE193" s="8"/>
      <c r="BF193" s="8"/>
      <c r="BG193" s="8"/>
      <c r="BH193" s="8"/>
      <c r="BI193" s="8"/>
      <c r="BJ193" s="8"/>
      <c r="BK193" s="8"/>
      <c r="BL193" s="8"/>
      <c r="BM193" s="8"/>
      <c r="BN193" s="8"/>
      <c r="BO193" s="8"/>
      <c r="BP193" s="8"/>
      <c r="BQ193" s="8"/>
      <c r="BR193" s="8"/>
      <c r="BS193" s="8"/>
      <c r="BT193" s="8"/>
      <c r="BU193" s="8"/>
      <c r="BV193" s="8"/>
      <c r="BW193" s="8"/>
      <c r="BX193" s="8"/>
      <c r="BY193" s="8"/>
      <c r="BZ193" s="8"/>
      <c r="CA193" s="8"/>
      <c r="CB193" s="8"/>
      <c r="CC193" s="8"/>
      <c r="CD193" s="8"/>
      <c r="CE193" s="8"/>
      <c r="CF193" s="8"/>
      <c r="CG193" s="8"/>
      <c r="CH193" s="8"/>
      <c r="CI193" s="8"/>
      <c r="CJ193" s="8"/>
      <c r="CK193" s="8"/>
      <c r="CL193" s="8"/>
      <c r="CM193" s="8"/>
      <c r="CN193" s="8"/>
      <c r="CO193" s="8"/>
      <c r="CP193" s="8"/>
      <c r="CQ193" s="8"/>
      <c r="CR193" s="8"/>
    </row>
    <row r="194" spans="1:96" x14ac:dyDescent="0.25">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c r="AB194" s="8"/>
      <c r="AC194" s="8"/>
      <c r="AD194" s="8"/>
      <c r="AE194" s="8"/>
      <c r="AF194" s="8"/>
      <c r="AG194" s="8"/>
      <c r="AH194" s="8"/>
      <c r="AI194" s="8"/>
      <c r="AJ194" s="8"/>
      <c r="AK194" s="8"/>
      <c r="AL194" s="8"/>
      <c r="AM194" s="8"/>
      <c r="AN194" s="8"/>
      <c r="AO194" s="8"/>
      <c r="AP194" s="8"/>
      <c r="AQ194" s="8"/>
      <c r="AR194" s="8"/>
      <c r="AS194" s="8"/>
      <c r="AT194" s="8"/>
      <c r="AU194" s="8"/>
      <c r="AV194" s="8"/>
      <c r="AW194" s="8"/>
      <c r="AX194" s="8"/>
      <c r="AY194" s="8"/>
      <c r="AZ194" s="8"/>
      <c r="BA194" s="8"/>
      <c r="BB194" s="8"/>
      <c r="BC194" s="8"/>
      <c r="BD194" s="8"/>
      <c r="BE194" s="8"/>
      <c r="BF194" s="8"/>
      <c r="BG194" s="8"/>
      <c r="BH194" s="8"/>
      <c r="BI194" s="8"/>
      <c r="BJ194" s="8"/>
      <c r="BK194" s="8"/>
      <c r="BL194" s="8"/>
      <c r="BM194" s="8"/>
      <c r="BN194" s="8"/>
      <c r="BO194" s="8"/>
      <c r="BP194" s="8"/>
      <c r="BQ194" s="8"/>
      <c r="BR194" s="8"/>
      <c r="BS194" s="8"/>
      <c r="BT194" s="8"/>
      <c r="BU194" s="8"/>
      <c r="BV194" s="8"/>
      <c r="BW194" s="8"/>
      <c r="BX194" s="8"/>
      <c r="BY194" s="8"/>
      <c r="BZ194" s="8"/>
      <c r="CA194" s="8"/>
      <c r="CB194" s="8"/>
      <c r="CC194" s="8"/>
      <c r="CD194" s="8"/>
      <c r="CE194" s="8"/>
      <c r="CF194" s="8"/>
      <c r="CG194" s="8"/>
      <c r="CH194" s="8"/>
      <c r="CI194" s="8"/>
      <c r="CJ194" s="8"/>
      <c r="CK194" s="8"/>
      <c r="CL194" s="8"/>
      <c r="CM194" s="8"/>
      <c r="CN194" s="8"/>
      <c r="CO194" s="8"/>
      <c r="CP194" s="8"/>
      <c r="CQ194" s="8"/>
      <c r="CR194" s="8"/>
    </row>
    <row r="195" spans="1:96" x14ac:dyDescent="0.2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c r="AB195" s="8"/>
      <c r="AC195" s="8"/>
      <c r="AD195" s="8"/>
      <c r="AE195" s="8"/>
      <c r="AF195" s="8"/>
      <c r="AG195" s="8"/>
      <c r="AH195" s="8"/>
      <c r="AI195" s="8"/>
      <c r="AJ195" s="8"/>
      <c r="AK195" s="8"/>
      <c r="AL195" s="8"/>
      <c r="AM195" s="8"/>
      <c r="AN195" s="8"/>
      <c r="AO195" s="8"/>
      <c r="AP195" s="8"/>
      <c r="AQ195" s="8"/>
      <c r="AR195" s="8"/>
      <c r="AS195" s="8"/>
      <c r="AT195" s="8"/>
      <c r="AU195" s="8"/>
      <c r="AV195" s="8"/>
      <c r="AW195" s="8"/>
      <c r="AX195" s="8"/>
      <c r="AY195" s="8"/>
      <c r="AZ195" s="8"/>
      <c r="BA195" s="8"/>
      <c r="BB195" s="8"/>
      <c r="BC195" s="8"/>
      <c r="BD195" s="8"/>
      <c r="BE195" s="8"/>
      <c r="BF195" s="8"/>
      <c r="BG195" s="8"/>
      <c r="BH195" s="8"/>
      <c r="BI195" s="8"/>
      <c r="BJ195" s="8"/>
      <c r="BK195" s="8"/>
      <c r="BL195" s="8"/>
      <c r="BM195" s="8"/>
      <c r="BN195" s="8"/>
      <c r="BO195" s="8"/>
      <c r="BP195" s="8"/>
      <c r="BQ195" s="8"/>
      <c r="BR195" s="8"/>
      <c r="BS195" s="8"/>
      <c r="BT195" s="8"/>
      <c r="BU195" s="8"/>
      <c r="BV195" s="8"/>
      <c r="BW195" s="8"/>
      <c r="BX195" s="8"/>
      <c r="BY195" s="8"/>
      <c r="BZ195" s="8"/>
      <c r="CA195" s="8"/>
      <c r="CB195" s="8"/>
      <c r="CC195" s="8"/>
      <c r="CD195" s="8"/>
      <c r="CE195" s="8"/>
      <c r="CF195" s="8"/>
      <c r="CG195" s="8"/>
      <c r="CH195" s="8"/>
      <c r="CI195" s="8"/>
      <c r="CJ195" s="8"/>
      <c r="CK195" s="8"/>
      <c r="CL195" s="8"/>
      <c r="CM195" s="8"/>
      <c r="CN195" s="8"/>
      <c r="CO195" s="8"/>
      <c r="CP195" s="8"/>
      <c r="CQ195" s="8"/>
      <c r="CR195" s="8"/>
    </row>
    <row r="196" spans="1:96" x14ac:dyDescent="0.25">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c r="AB196" s="8"/>
      <c r="AC196" s="8"/>
      <c r="AD196" s="8"/>
      <c r="AE196" s="8"/>
      <c r="AF196" s="8"/>
      <c r="AG196" s="8"/>
      <c r="AH196" s="8"/>
      <c r="AI196" s="8"/>
      <c r="AJ196" s="8"/>
      <c r="AK196" s="8"/>
      <c r="AL196" s="8"/>
      <c r="AM196" s="8"/>
      <c r="AN196" s="8"/>
      <c r="AO196" s="8"/>
      <c r="AP196" s="8"/>
      <c r="AQ196" s="8"/>
      <c r="AR196" s="8"/>
      <c r="AS196" s="8"/>
      <c r="AT196" s="8"/>
      <c r="AU196" s="8"/>
      <c r="AV196" s="8"/>
      <c r="AW196" s="8"/>
      <c r="AX196" s="8"/>
      <c r="AY196" s="8"/>
      <c r="AZ196" s="8"/>
      <c r="BA196" s="8"/>
      <c r="BB196" s="8"/>
      <c r="BC196" s="8"/>
      <c r="BD196" s="8"/>
      <c r="BE196" s="8"/>
      <c r="BF196" s="8"/>
      <c r="BG196" s="8"/>
      <c r="BH196" s="8"/>
      <c r="BI196" s="8"/>
      <c r="BJ196" s="8"/>
      <c r="BK196" s="8"/>
      <c r="BL196" s="8"/>
      <c r="BM196" s="8"/>
      <c r="BN196" s="8"/>
      <c r="BO196" s="8"/>
      <c r="BP196" s="8"/>
      <c r="BQ196" s="8"/>
      <c r="BR196" s="8"/>
      <c r="BS196" s="8"/>
      <c r="BT196" s="8"/>
      <c r="BU196" s="8"/>
      <c r="BV196" s="8"/>
      <c r="BW196" s="8"/>
      <c r="BX196" s="8"/>
      <c r="BY196" s="8"/>
      <c r="BZ196" s="8"/>
      <c r="CA196" s="8"/>
      <c r="CB196" s="8"/>
      <c r="CC196" s="8"/>
      <c r="CD196" s="8"/>
      <c r="CE196" s="8"/>
      <c r="CF196" s="8"/>
      <c r="CG196" s="8"/>
      <c r="CH196" s="8"/>
      <c r="CI196" s="8"/>
      <c r="CJ196" s="8"/>
      <c r="CK196" s="8"/>
      <c r="CL196" s="8"/>
      <c r="CM196" s="8"/>
      <c r="CN196" s="8"/>
      <c r="CO196" s="8"/>
      <c r="CP196" s="8"/>
      <c r="CQ196" s="8"/>
      <c r="CR196" s="8"/>
    </row>
    <row r="197" spans="1:96" x14ac:dyDescent="0.25">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c r="AB197" s="8"/>
      <c r="AC197" s="8"/>
      <c r="AD197" s="8"/>
      <c r="AE197" s="8"/>
      <c r="AF197" s="8"/>
      <c r="AG197" s="8"/>
      <c r="AH197" s="8"/>
      <c r="AI197" s="8"/>
      <c r="AJ197" s="8"/>
      <c r="AK197" s="8"/>
      <c r="AL197" s="8"/>
      <c r="AM197" s="8"/>
      <c r="AN197" s="8"/>
      <c r="AO197" s="8"/>
      <c r="AP197" s="8"/>
      <c r="AQ197" s="8"/>
      <c r="AR197" s="8"/>
      <c r="AS197" s="8"/>
      <c r="AT197" s="8"/>
      <c r="AU197" s="8"/>
      <c r="AV197" s="8"/>
      <c r="AW197" s="8"/>
      <c r="AX197" s="8"/>
      <c r="AY197" s="8"/>
      <c r="AZ197" s="8"/>
      <c r="BA197" s="8"/>
      <c r="BB197" s="8"/>
      <c r="BC197" s="8"/>
      <c r="BD197" s="8"/>
      <c r="BE197" s="8"/>
      <c r="BF197" s="8"/>
      <c r="BG197" s="8"/>
      <c r="BH197" s="8"/>
      <c r="BI197" s="8"/>
      <c r="BJ197" s="8"/>
      <c r="BK197" s="8"/>
      <c r="BL197" s="8"/>
      <c r="BM197" s="8"/>
      <c r="BN197" s="8"/>
      <c r="BO197" s="8"/>
      <c r="BP197" s="8"/>
      <c r="BQ197" s="8"/>
      <c r="BR197" s="8"/>
      <c r="BS197" s="8"/>
      <c r="BT197" s="8"/>
      <c r="BU197" s="8"/>
      <c r="BV197" s="8"/>
      <c r="BW197" s="8"/>
      <c r="BX197" s="8"/>
      <c r="BY197" s="8"/>
      <c r="BZ197" s="8"/>
      <c r="CA197" s="8"/>
      <c r="CB197" s="8"/>
      <c r="CC197" s="8"/>
      <c r="CD197" s="8"/>
      <c r="CE197" s="8"/>
      <c r="CF197" s="8"/>
      <c r="CG197" s="8"/>
      <c r="CH197" s="8"/>
      <c r="CI197" s="8"/>
      <c r="CJ197" s="8"/>
      <c r="CK197" s="8"/>
      <c r="CL197" s="8"/>
      <c r="CM197" s="8"/>
      <c r="CN197" s="8"/>
      <c r="CO197" s="8"/>
      <c r="CP197" s="8"/>
      <c r="CQ197" s="8"/>
      <c r="CR197" s="8"/>
    </row>
    <row r="198" spans="1:96" x14ac:dyDescent="0.25">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c r="AB198" s="8"/>
      <c r="AC198" s="8"/>
      <c r="AD198" s="8"/>
      <c r="AE198" s="8"/>
      <c r="AF198" s="8"/>
      <c r="AG198" s="8"/>
      <c r="AH198" s="8"/>
      <c r="AI198" s="8"/>
      <c r="AJ198" s="8"/>
      <c r="AK198" s="8"/>
      <c r="AL198" s="8"/>
      <c r="AM198" s="8"/>
      <c r="AN198" s="8"/>
      <c r="AO198" s="8"/>
      <c r="AP198" s="8"/>
      <c r="AQ198" s="8"/>
      <c r="AR198" s="8"/>
      <c r="AS198" s="8"/>
      <c r="AT198" s="8"/>
      <c r="AU198" s="8"/>
      <c r="AV198" s="8"/>
      <c r="AW198" s="8"/>
      <c r="AX198" s="8"/>
      <c r="AY198" s="8"/>
      <c r="AZ198" s="8"/>
      <c r="BA198" s="8"/>
      <c r="BB198" s="8"/>
      <c r="BC198" s="8"/>
      <c r="BD198" s="8"/>
      <c r="BE198" s="8"/>
      <c r="BF198" s="8"/>
      <c r="BG198" s="8"/>
      <c r="BH198" s="8"/>
      <c r="BI198" s="8"/>
      <c r="BJ198" s="8"/>
      <c r="BK198" s="8"/>
      <c r="BL198" s="8"/>
      <c r="BM198" s="8"/>
      <c r="BN198" s="8"/>
      <c r="BO198" s="8"/>
      <c r="BP198" s="8"/>
      <c r="BQ198" s="8"/>
      <c r="BR198" s="8"/>
      <c r="BS198" s="8"/>
      <c r="BT198" s="8"/>
      <c r="BU198" s="8"/>
      <c r="BV198" s="8"/>
      <c r="BW198" s="8"/>
      <c r="BX198" s="8"/>
      <c r="BY198" s="8"/>
      <c r="BZ198" s="8"/>
      <c r="CA198" s="8"/>
      <c r="CB198" s="8"/>
      <c r="CC198" s="8"/>
      <c r="CD198" s="8"/>
      <c r="CE198" s="8"/>
      <c r="CF198" s="8"/>
      <c r="CG198" s="8"/>
      <c r="CH198" s="8"/>
      <c r="CI198" s="8"/>
      <c r="CJ198" s="8"/>
      <c r="CK198" s="8"/>
      <c r="CL198" s="8"/>
      <c r="CM198" s="8"/>
      <c r="CN198" s="8"/>
      <c r="CO198" s="8"/>
      <c r="CP198" s="8"/>
      <c r="CQ198" s="8"/>
      <c r="CR198" s="8"/>
    </row>
    <row r="199" spans="1:96" x14ac:dyDescent="0.25">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c r="AB199" s="8"/>
      <c r="AC199" s="8"/>
      <c r="AD199" s="8"/>
      <c r="AE199" s="8"/>
      <c r="AF199" s="8"/>
      <c r="AG199" s="8"/>
      <c r="AH199" s="8"/>
      <c r="AI199" s="8"/>
      <c r="AJ199" s="8"/>
      <c r="AK199" s="8"/>
      <c r="AL199" s="8"/>
      <c r="AM199" s="8"/>
      <c r="AN199" s="8"/>
      <c r="AO199" s="8"/>
      <c r="AP199" s="8"/>
      <c r="AQ199" s="8"/>
      <c r="AR199" s="8"/>
      <c r="AS199" s="8"/>
      <c r="AT199" s="8"/>
      <c r="AU199" s="8"/>
      <c r="AV199" s="8"/>
      <c r="AW199" s="8"/>
      <c r="AX199" s="8"/>
      <c r="AY199" s="8"/>
      <c r="AZ199" s="8"/>
      <c r="BA199" s="8"/>
      <c r="BB199" s="8"/>
      <c r="BC199" s="8"/>
      <c r="BD199" s="8"/>
      <c r="BE199" s="8"/>
      <c r="BF199" s="8"/>
      <c r="BG199" s="8"/>
      <c r="BH199" s="8"/>
      <c r="BI199" s="8"/>
      <c r="BJ199" s="8"/>
      <c r="BK199" s="8"/>
      <c r="BL199" s="8"/>
      <c r="BM199" s="8"/>
      <c r="BN199" s="8"/>
      <c r="BO199" s="8"/>
      <c r="BP199" s="8"/>
      <c r="BQ199" s="8"/>
      <c r="BR199" s="8"/>
      <c r="BS199" s="8"/>
      <c r="BT199" s="8"/>
      <c r="BU199" s="8"/>
      <c r="BV199" s="8"/>
      <c r="BW199" s="8"/>
      <c r="BX199" s="8"/>
      <c r="BY199" s="8"/>
      <c r="BZ199" s="8"/>
      <c r="CA199" s="8"/>
      <c r="CB199" s="8"/>
      <c r="CC199" s="8"/>
      <c r="CD199" s="8"/>
      <c r="CE199" s="8"/>
      <c r="CF199" s="8"/>
      <c r="CG199" s="8"/>
      <c r="CH199" s="8"/>
      <c r="CI199" s="8"/>
      <c r="CJ199" s="8"/>
      <c r="CK199" s="8"/>
      <c r="CL199" s="8"/>
      <c r="CM199" s="8"/>
      <c r="CN199" s="8"/>
      <c r="CO199" s="8"/>
      <c r="CP199" s="8"/>
      <c r="CQ199" s="8"/>
      <c r="CR199" s="8"/>
    </row>
    <row r="200" spans="1:96" x14ac:dyDescent="0.25">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c r="AB200" s="8"/>
      <c r="AC200" s="8"/>
      <c r="AD200" s="8"/>
      <c r="AE200" s="8"/>
      <c r="AF200" s="8"/>
      <c r="AG200" s="8"/>
      <c r="AH200" s="8"/>
      <c r="AI200" s="8"/>
      <c r="AJ200" s="8"/>
      <c r="AK200" s="8"/>
      <c r="AL200" s="8"/>
      <c r="AM200" s="8"/>
      <c r="AN200" s="8"/>
      <c r="AO200" s="8"/>
      <c r="AP200" s="8"/>
      <c r="AQ200" s="8"/>
      <c r="AR200" s="8"/>
      <c r="AS200" s="8"/>
      <c r="AT200" s="8"/>
      <c r="AU200" s="8"/>
      <c r="AV200" s="8"/>
      <c r="AW200" s="8"/>
      <c r="AX200" s="8"/>
      <c r="AY200" s="8"/>
      <c r="AZ200" s="8"/>
      <c r="BA200" s="8"/>
      <c r="BB200" s="8"/>
      <c r="BC200" s="8"/>
      <c r="BD200" s="8"/>
      <c r="BE200" s="8"/>
      <c r="BF200" s="8"/>
      <c r="BG200" s="8"/>
      <c r="BH200" s="8"/>
      <c r="BI200" s="8"/>
      <c r="BJ200" s="8"/>
      <c r="BK200" s="8"/>
      <c r="BL200" s="8"/>
      <c r="BM200" s="8"/>
      <c r="BN200" s="8"/>
      <c r="BO200" s="8"/>
      <c r="BP200" s="8"/>
      <c r="BQ200" s="8"/>
      <c r="BR200" s="8"/>
      <c r="BS200" s="8"/>
      <c r="BT200" s="8"/>
      <c r="BU200" s="8"/>
      <c r="BV200" s="8"/>
      <c r="BW200" s="8"/>
      <c r="BX200" s="8"/>
      <c r="BY200" s="8"/>
      <c r="BZ200" s="8"/>
      <c r="CA200" s="8"/>
      <c r="CB200" s="8"/>
      <c r="CC200" s="8"/>
      <c r="CD200" s="8"/>
      <c r="CE200" s="8"/>
      <c r="CF200" s="8"/>
      <c r="CG200" s="8"/>
      <c r="CH200" s="8"/>
      <c r="CI200" s="8"/>
      <c r="CJ200" s="8"/>
      <c r="CK200" s="8"/>
      <c r="CL200" s="8"/>
      <c r="CM200" s="8"/>
      <c r="CN200" s="8"/>
      <c r="CO200" s="8"/>
      <c r="CP200" s="8"/>
      <c r="CQ200" s="8"/>
      <c r="CR200" s="8"/>
    </row>
    <row r="201" spans="1:96" x14ac:dyDescent="0.25">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c r="AB201" s="8"/>
      <c r="AC201" s="8"/>
      <c r="AD201" s="8"/>
      <c r="AE201" s="8"/>
      <c r="AF201" s="8"/>
      <c r="AG201" s="8"/>
      <c r="AH201" s="8"/>
      <c r="AI201" s="8"/>
      <c r="AJ201" s="8"/>
      <c r="AK201" s="8"/>
      <c r="AL201" s="8"/>
      <c r="AM201" s="8"/>
      <c r="AN201" s="8"/>
      <c r="AO201" s="8"/>
      <c r="AP201" s="8"/>
      <c r="AQ201" s="8"/>
      <c r="AR201" s="8"/>
      <c r="AS201" s="8"/>
      <c r="AT201" s="8"/>
      <c r="AU201" s="8"/>
      <c r="AV201" s="8"/>
      <c r="AW201" s="8"/>
      <c r="AX201" s="8"/>
      <c r="AY201" s="8"/>
      <c r="AZ201" s="8"/>
      <c r="BA201" s="8"/>
      <c r="BB201" s="8"/>
      <c r="BC201" s="8"/>
      <c r="BD201" s="8"/>
      <c r="BE201" s="8"/>
      <c r="BF201" s="8"/>
      <c r="BG201" s="8"/>
      <c r="BH201" s="8"/>
      <c r="BI201" s="8"/>
      <c r="BJ201" s="8"/>
      <c r="BK201" s="8"/>
      <c r="BL201" s="8"/>
      <c r="BM201" s="8"/>
      <c r="BN201" s="8"/>
      <c r="BO201" s="8"/>
      <c r="BP201" s="8"/>
      <c r="BQ201" s="8"/>
      <c r="BR201" s="8"/>
      <c r="BS201" s="8"/>
      <c r="BT201" s="8"/>
      <c r="BU201" s="8"/>
      <c r="BV201" s="8"/>
      <c r="BW201" s="8"/>
      <c r="BX201" s="8"/>
      <c r="BY201" s="8"/>
      <c r="BZ201" s="8"/>
      <c r="CA201" s="8"/>
      <c r="CB201" s="8"/>
      <c r="CC201" s="8"/>
      <c r="CD201" s="8"/>
      <c r="CE201" s="8"/>
      <c r="CF201" s="8"/>
      <c r="CG201" s="8"/>
      <c r="CH201" s="8"/>
      <c r="CI201" s="8"/>
      <c r="CJ201" s="8"/>
      <c r="CK201" s="8"/>
      <c r="CL201" s="8"/>
      <c r="CM201" s="8"/>
      <c r="CN201" s="8"/>
      <c r="CO201" s="8"/>
      <c r="CP201" s="8"/>
      <c r="CQ201" s="8"/>
      <c r="CR201" s="8"/>
    </row>
    <row r="202" spans="1:96" x14ac:dyDescent="0.25">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c r="AB202" s="8"/>
      <c r="AC202" s="8"/>
      <c r="AD202" s="8"/>
      <c r="AE202" s="8"/>
      <c r="AF202" s="8"/>
      <c r="AG202" s="8"/>
      <c r="AH202" s="8"/>
      <c r="AI202" s="8"/>
      <c r="AJ202" s="8"/>
      <c r="AK202" s="8"/>
      <c r="AL202" s="8"/>
      <c r="AM202" s="8"/>
      <c r="AN202" s="8"/>
      <c r="AO202" s="8"/>
      <c r="AP202" s="8"/>
      <c r="AQ202" s="8"/>
      <c r="AR202" s="8"/>
      <c r="AS202" s="8"/>
      <c r="AT202" s="8"/>
      <c r="AU202" s="8"/>
      <c r="AV202" s="8"/>
      <c r="AW202" s="8"/>
      <c r="AX202" s="8"/>
      <c r="AY202" s="8"/>
      <c r="AZ202" s="8"/>
      <c r="BA202" s="8"/>
      <c r="BB202" s="8"/>
      <c r="BC202" s="8"/>
      <c r="BD202" s="8"/>
      <c r="BE202" s="8"/>
      <c r="BF202" s="8"/>
      <c r="BG202" s="8"/>
      <c r="BH202" s="8"/>
      <c r="BI202" s="8"/>
      <c r="BJ202" s="8"/>
      <c r="BK202" s="8"/>
      <c r="BL202" s="8"/>
      <c r="BM202" s="8"/>
      <c r="BN202" s="8"/>
      <c r="BO202" s="8"/>
      <c r="BP202" s="8"/>
      <c r="BQ202" s="8"/>
      <c r="BR202" s="8"/>
      <c r="BS202" s="8"/>
      <c r="BT202" s="8"/>
      <c r="BU202" s="8"/>
      <c r="BV202" s="8"/>
      <c r="BW202" s="8"/>
      <c r="BX202" s="8"/>
      <c r="BY202" s="8"/>
      <c r="BZ202" s="8"/>
      <c r="CA202" s="8"/>
      <c r="CB202" s="8"/>
      <c r="CC202" s="8"/>
      <c r="CD202" s="8"/>
      <c r="CE202" s="8"/>
      <c r="CF202" s="8"/>
      <c r="CG202" s="8"/>
      <c r="CH202" s="8"/>
      <c r="CI202" s="8"/>
      <c r="CJ202" s="8"/>
      <c r="CK202" s="8"/>
      <c r="CL202" s="8"/>
      <c r="CM202" s="8"/>
      <c r="CN202" s="8"/>
      <c r="CO202" s="8"/>
      <c r="CP202" s="8"/>
      <c r="CQ202" s="8"/>
      <c r="CR202" s="8"/>
    </row>
    <row r="203" spans="1:96" x14ac:dyDescent="0.25">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c r="AB203" s="8"/>
      <c r="AC203" s="8"/>
      <c r="AD203" s="8"/>
      <c r="AE203" s="8"/>
      <c r="AF203" s="8"/>
      <c r="AG203" s="8"/>
      <c r="AH203" s="8"/>
      <c r="AI203" s="8"/>
      <c r="AJ203" s="8"/>
      <c r="AK203" s="8"/>
      <c r="AL203" s="8"/>
      <c r="AM203" s="8"/>
      <c r="AN203" s="8"/>
      <c r="AO203" s="8"/>
      <c r="AP203" s="8"/>
      <c r="AQ203" s="8"/>
      <c r="AR203" s="8"/>
      <c r="AS203" s="8"/>
      <c r="AT203" s="8"/>
      <c r="AU203" s="8"/>
      <c r="AV203" s="8"/>
      <c r="AW203" s="8"/>
      <c r="AX203" s="8"/>
      <c r="AY203" s="8"/>
      <c r="AZ203" s="8"/>
      <c r="BA203" s="8"/>
      <c r="BB203" s="8"/>
      <c r="BC203" s="8"/>
      <c r="BD203" s="8"/>
      <c r="BE203" s="8"/>
      <c r="BF203" s="8"/>
      <c r="BG203" s="8"/>
      <c r="BH203" s="8"/>
      <c r="BI203" s="8"/>
      <c r="BJ203" s="8"/>
      <c r="BK203" s="8"/>
      <c r="BL203" s="8"/>
      <c r="BM203" s="8"/>
      <c r="BN203" s="8"/>
      <c r="BO203" s="8"/>
      <c r="BP203" s="8"/>
      <c r="BQ203" s="8"/>
      <c r="BR203" s="8"/>
      <c r="BS203" s="8"/>
      <c r="BT203" s="8"/>
      <c r="BU203" s="8"/>
      <c r="BV203" s="8"/>
      <c r="BW203" s="8"/>
      <c r="BX203" s="8"/>
      <c r="BY203" s="8"/>
      <c r="BZ203" s="8"/>
      <c r="CA203" s="8"/>
      <c r="CB203" s="8"/>
      <c r="CC203" s="8"/>
      <c r="CD203" s="8"/>
      <c r="CE203" s="8"/>
      <c r="CF203" s="8"/>
      <c r="CG203" s="8"/>
      <c r="CH203" s="8"/>
      <c r="CI203" s="8"/>
      <c r="CJ203" s="8"/>
      <c r="CK203" s="8"/>
      <c r="CL203" s="8"/>
      <c r="CM203" s="8"/>
      <c r="CN203" s="8"/>
      <c r="CO203" s="8"/>
      <c r="CP203" s="8"/>
      <c r="CQ203" s="8"/>
      <c r="CR203" s="8"/>
    </row>
    <row r="204" spans="1:96" x14ac:dyDescent="0.25">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c r="AB204" s="8"/>
      <c r="AC204" s="8"/>
      <c r="AD204" s="8"/>
      <c r="AE204" s="8"/>
      <c r="AF204" s="8"/>
      <c r="AG204" s="8"/>
      <c r="AH204" s="8"/>
      <c r="AI204" s="8"/>
      <c r="AJ204" s="8"/>
      <c r="AK204" s="8"/>
      <c r="AL204" s="8"/>
      <c r="AM204" s="8"/>
      <c r="AN204" s="8"/>
      <c r="AO204" s="8"/>
      <c r="AP204" s="8"/>
      <c r="AQ204" s="8"/>
      <c r="AR204" s="8"/>
      <c r="AS204" s="8"/>
      <c r="AT204" s="8"/>
      <c r="AU204" s="8"/>
      <c r="AV204" s="8"/>
      <c r="AW204" s="8"/>
      <c r="AX204" s="8"/>
      <c r="AY204" s="8"/>
      <c r="AZ204" s="8"/>
      <c r="BA204" s="8"/>
      <c r="BB204" s="8"/>
      <c r="BC204" s="8"/>
      <c r="BD204" s="8"/>
      <c r="BE204" s="8"/>
      <c r="BF204" s="8"/>
      <c r="BG204" s="8"/>
      <c r="BH204" s="8"/>
      <c r="BI204" s="8"/>
      <c r="BJ204" s="8"/>
      <c r="BK204" s="8"/>
      <c r="BL204" s="8"/>
      <c r="BM204" s="8"/>
      <c r="BN204" s="8"/>
      <c r="BO204" s="8"/>
      <c r="BP204" s="8"/>
      <c r="BQ204" s="8"/>
      <c r="BR204" s="8"/>
      <c r="BS204" s="8"/>
      <c r="BT204" s="8"/>
      <c r="BU204" s="8"/>
      <c r="BV204" s="8"/>
      <c r="BW204" s="8"/>
      <c r="BX204" s="8"/>
      <c r="BY204" s="8"/>
      <c r="BZ204" s="8"/>
      <c r="CA204" s="8"/>
      <c r="CB204" s="8"/>
      <c r="CC204" s="8"/>
      <c r="CD204" s="8"/>
      <c r="CE204" s="8"/>
      <c r="CF204" s="8"/>
      <c r="CG204" s="8"/>
      <c r="CH204" s="8"/>
      <c r="CI204" s="8"/>
      <c r="CJ204" s="8"/>
      <c r="CK204" s="8"/>
      <c r="CL204" s="8"/>
      <c r="CM204" s="8"/>
      <c r="CN204" s="8"/>
      <c r="CO204" s="8"/>
      <c r="CP204" s="8"/>
      <c r="CQ204" s="8"/>
      <c r="CR204" s="8"/>
    </row>
    <row r="205" spans="1:96" x14ac:dyDescent="0.2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c r="AB205" s="8"/>
      <c r="AC205" s="8"/>
      <c r="AD205" s="8"/>
      <c r="AE205" s="8"/>
      <c r="AF205" s="8"/>
      <c r="AG205" s="8"/>
      <c r="AH205" s="8"/>
      <c r="AI205" s="8"/>
      <c r="AJ205" s="8"/>
      <c r="AK205" s="8"/>
      <c r="AL205" s="8"/>
      <c r="AM205" s="8"/>
      <c r="AN205" s="8"/>
      <c r="AO205" s="8"/>
      <c r="AP205" s="8"/>
      <c r="AQ205" s="8"/>
      <c r="AR205" s="8"/>
      <c r="AS205" s="8"/>
      <c r="AT205" s="8"/>
      <c r="AU205" s="8"/>
      <c r="AV205" s="8"/>
      <c r="AW205" s="8"/>
      <c r="AX205" s="8"/>
      <c r="AY205" s="8"/>
      <c r="AZ205" s="8"/>
      <c r="BA205" s="8"/>
      <c r="BB205" s="8"/>
      <c r="BC205" s="8"/>
      <c r="BD205" s="8"/>
      <c r="BE205" s="8"/>
      <c r="BF205" s="8"/>
      <c r="BG205" s="8"/>
      <c r="BH205" s="8"/>
      <c r="BI205" s="8"/>
      <c r="BJ205" s="8"/>
      <c r="BK205" s="8"/>
      <c r="BL205" s="8"/>
      <c r="BM205" s="8"/>
      <c r="BN205" s="8"/>
      <c r="BO205" s="8"/>
      <c r="BP205" s="8"/>
      <c r="BQ205" s="8"/>
      <c r="BR205" s="8"/>
      <c r="BS205" s="8"/>
      <c r="BT205" s="8"/>
      <c r="BU205" s="8"/>
      <c r="BV205" s="8"/>
      <c r="BW205" s="8"/>
      <c r="BX205" s="8"/>
      <c r="BY205" s="8"/>
      <c r="BZ205" s="8"/>
      <c r="CA205" s="8"/>
      <c r="CB205" s="8"/>
      <c r="CC205" s="8"/>
      <c r="CD205" s="8"/>
      <c r="CE205" s="8"/>
      <c r="CF205" s="8"/>
      <c r="CG205" s="8"/>
      <c r="CH205" s="8"/>
      <c r="CI205" s="8"/>
      <c r="CJ205" s="8"/>
      <c r="CK205" s="8"/>
      <c r="CL205" s="8"/>
      <c r="CM205" s="8"/>
      <c r="CN205" s="8"/>
      <c r="CO205" s="8"/>
      <c r="CP205" s="8"/>
      <c r="CQ205" s="8"/>
      <c r="CR205" s="8"/>
    </row>
    <row r="206" spans="1:96" x14ac:dyDescent="0.25">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c r="AB206" s="8"/>
      <c r="AC206" s="8"/>
      <c r="AD206" s="8"/>
      <c r="AE206" s="8"/>
      <c r="AF206" s="8"/>
      <c r="AG206" s="8"/>
      <c r="AH206" s="8"/>
      <c r="AI206" s="8"/>
      <c r="AJ206" s="8"/>
      <c r="AK206" s="8"/>
      <c r="AL206" s="8"/>
      <c r="AM206" s="8"/>
      <c r="AN206" s="8"/>
      <c r="AO206" s="8"/>
      <c r="AP206" s="8"/>
      <c r="AQ206" s="8"/>
      <c r="AR206" s="8"/>
      <c r="AS206" s="8"/>
      <c r="AT206" s="8"/>
      <c r="AU206" s="8"/>
      <c r="AV206" s="8"/>
      <c r="AW206" s="8"/>
      <c r="AX206" s="8"/>
      <c r="AY206" s="8"/>
      <c r="AZ206" s="8"/>
      <c r="BA206" s="8"/>
      <c r="BB206" s="8"/>
      <c r="BC206" s="8"/>
      <c r="BD206" s="8"/>
      <c r="BE206" s="8"/>
      <c r="BF206" s="8"/>
      <c r="BG206" s="8"/>
      <c r="BH206" s="8"/>
      <c r="BI206" s="8"/>
      <c r="BJ206" s="8"/>
      <c r="BK206" s="8"/>
      <c r="BL206" s="8"/>
      <c r="BM206" s="8"/>
      <c r="BN206" s="8"/>
      <c r="BO206" s="8"/>
      <c r="BP206" s="8"/>
      <c r="BQ206" s="8"/>
      <c r="BR206" s="8"/>
      <c r="BS206" s="8"/>
      <c r="BT206" s="8"/>
      <c r="BU206" s="8"/>
      <c r="BV206" s="8"/>
      <c r="BW206" s="8"/>
      <c r="BX206" s="8"/>
      <c r="BY206" s="8"/>
      <c r="BZ206" s="8"/>
      <c r="CA206" s="8"/>
      <c r="CB206" s="8"/>
      <c r="CC206" s="8"/>
      <c r="CD206" s="8"/>
      <c r="CE206" s="8"/>
      <c r="CF206" s="8"/>
      <c r="CG206" s="8"/>
      <c r="CH206" s="8"/>
      <c r="CI206" s="8"/>
      <c r="CJ206" s="8"/>
      <c r="CK206" s="8"/>
      <c r="CL206" s="8"/>
      <c r="CM206" s="8"/>
      <c r="CN206" s="8"/>
      <c r="CO206" s="8"/>
      <c r="CP206" s="8"/>
      <c r="CQ206" s="8"/>
      <c r="CR206" s="8"/>
    </row>
    <row r="207" spans="1:96" x14ac:dyDescent="0.25">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c r="AB207" s="8"/>
      <c r="AC207" s="8"/>
      <c r="AD207" s="8"/>
      <c r="AE207" s="8"/>
      <c r="AF207" s="8"/>
      <c r="AG207" s="8"/>
      <c r="AH207" s="8"/>
      <c r="AI207" s="8"/>
      <c r="AJ207" s="8"/>
      <c r="AK207" s="8"/>
      <c r="AL207" s="8"/>
      <c r="AM207" s="8"/>
      <c r="AN207" s="8"/>
      <c r="AO207" s="8"/>
      <c r="AP207" s="8"/>
      <c r="AQ207" s="8"/>
      <c r="AR207" s="8"/>
      <c r="AS207" s="8"/>
      <c r="AT207" s="8"/>
      <c r="AU207" s="8"/>
      <c r="AV207" s="8"/>
      <c r="AW207" s="8"/>
      <c r="AX207" s="8"/>
      <c r="AY207" s="8"/>
      <c r="AZ207" s="8"/>
      <c r="BA207" s="8"/>
      <c r="BB207" s="8"/>
      <c r="BC207" s="8"/>
      <c r="BD207" s="8"/>
      <c r="BE207" s="8"/>
      <c r="BF207" s="8"/>
      <c r="BG207" s="8"/>
      <c r="BH207" s="8"/>
      <c r="BI207" s="8"/>
      <c r="BJ207" s="8"/>
      <c r="BK207" s="8"/>
      <c r="BL207" s="8"/>
      <c r="BM207" s="8"/>
      <c r="BN207" s="8"/>
      <c r="BO207" s="8"/>
      <c r="BP207" s="8"/>
      <c r="BQ207" s="8"/>
      <c r="BR207" s="8"/>
      <c r="BS207" s="8"/>
      <c r="BT207" s="8"/>
      <c r="BU207" s="8"/>
      <c r="BV207" s="8"/>
      <c r="BW207" s="8"/>
      <c r="BX207" s="8"/>
      <c r="BY207" s="8"/>
      <c r="BZ207" s="8"/>
      <c r="CA207" s="8"/>
      <c r="CB207" s="8"/>
      <c r="CC207" s="8"/>
      <c r="CD207" s="8"/>
      <c r="CE207" s="8"/>
      <c r="CF207" s="8"/>
      <c r="CG207" s="8"/>
      <c r="CH207" s="8"/>
      <c r="CI207" s="8"/>
      <c r="CJ207" s="8"/>
      <c r="CK207" s="8"/>
      <c r="CL207" s="8"/>
      <c r="CM207" s="8"/>
      <c r="CN207" s="8"/>
      <c r="CO207" s="8"/>
      <c r="CP207" s="8"/>
      <c r="CQ207" s="8"/>
      <c r="CR207" s="8"/>
    </row>
    <row r="208" spans="1:96" x14ac:dyDescent="0.25">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c r="AB208" s="8"/>
      <c r="AC208" s="8"/>
      <c r="AD208" s="8"/>
      <c r="AE208" s="8"/>
      <c r="AF208" s="8"/>
      <c r="AG208" s="8"/>
      <c r="AH208" s="8"/>
      <c r="AI208" s="8"/>
      <c r="AJ208" s="8"/>
      <c r="AK208" s="8"/>
      <c r="AL208" s="8"/>
      <c r="AM208" s="8"/>
      <c r="AN208" s="8"/>
      <c r="AO208" s="8"/>
      <c r="AP208" s="8"/>
      <c r="AQ208" s="8"/>
      <c r="AR208" s="8"/>
      <c r="AS208" s="8"/>
      <c r="AT208" s="8"/>
      <c r="AU208" s="8"/>
      <c r="AV208" s="8"/>
      <c r="AW208" s="8"/>
      <c r="AX208" s="8"/>
      <c r="AY208" s="8"/>
      <c r="AZ208" s="8"/>
      <c r="BA208" s="8"/>
      <c r="BB208" s="8"/>
      <c r="BC208" s="8"/>
      <c r="BD208" s="8"/>
      <c r="BE208" s="8"/>
      <c r="BF208" s="8"/>
      <c r="BG208" s="8"/>
      <c r="BH208" s="8"/>
      <c r="BI208" s="8"/>
      <c r="BJ208" s="8"/>
      <c r="BK208" s="8"/>
      <c r="BL208" s="8"/>
      <c r="BM208" s="8"/>
      <c r="BN208" s="8"/>
      <c r="BO208" s="8"/>
      <c r="BP208" s="8"/>
      <c r="BQ208" s="8"/>
      <c r="BR208" s="8"/>
      <c r="BS208" s="8"/>
      <c r="BT208" s="8"/>
      <c r="BU208" s="8"/>
      <c r="BV208" s="8"/>
      <c r="BW208" s="8"/>
      <c r="BX208" s="8"/>
      <c r="BY208" s="8"/>
      <c r="BZ208" s="8"/>
      <c r="CA208" s="8"/>
      <c r="CB208" s="8"/>
      <c r="CC208" s="8"/>
      <c r="CD208" s="8"/>
      <c r="CE208" s="8"/>
      <c r="CF208" s="8"/>
      <c r="CG208" s="8"/>
      <c r="CH208" s="8"/>
      <c r="CI208" s="8"/>
      <c r="CJ208" s="8"/>
      <c r="CK208" s="8"/>
      <c r="CL208" s="8"/>
      <c r="CM208" s="8"/>
      <c r="CN208" s="8"/>
      <c r="CO208" s="8"/>
      <c r="CP208" s="8"/>
      <c r="CQ208" s="8"/>
      <c r="CR208" s="8"/>
    </row>
    <row r="209" spans="1:96" x14ac:dyDescent="0.25">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c r="AB209" s="8"/>
      <c r="AC209" s="8"/>
      <c r="AD209" s="8"/>
      <c r="AE209" s="8"/>
      <c r="AF209" s="8"/>
      <c r="AG209" s="8"/>
      <c r="AH209" s="8"/>
      <c r="AI209" s="8"/>
      <c r="AJ209" s="8"/>
      <c r="AK209" s="8"/>
      <c r="AL209" s="8"/>
      <c r="AM209" s="8"/>
      <c r="AN209" s="8"/>
      <c r="AO209" s="8"/>
      <c r="AP209" s="8"/>
      <c r="AQ209" s="8"/>
      <c r="AR209" s="8"/>
      <c r="AS209" s="8"/>
      <c r="AT209" s="8"/>
      <c r="AU209" s="8"/>
      <c r="AV209" s="8"/>
      <c r="AW209" s="8"/>
      <c r="AX209" s="8"/>
      <c r="AY209" s="8"/>
      <c r="AZ209" s="8"/>
      <c r="BA209" s="8"/>
      <c r="BB209" s="8"/>
      <c r="BC209" s="8"/>
      <c r="BD209" s="8"/>
      <c r="BE209" s="8"/>
      <c r="BF209" s="8"/>
      <c r="BG209" s="8"/>
      <c r="BH209" s="8"/>
      <c r="BI209" s="8"/>
      <c r="BJ209" s="8"/>
      <c r="BK209" s="8"/>
      <c r="BL209" s="8"/>
      <c r="BM209" s="8"/>
      <c r="BN209" s="8"/>
      <c r="BO209" s="8"/>
      <c r="BP209" s="8"/>
      <c r="BQ209" s="8"/>
      <c r="BR209" s="8"/>
      <c r="BS209" s="8"/>
      <c r="BT209" s="8"/>
      <c r="BU209" s="8"/>
      <c r="BV209" s="8"/>
      <c r="BW209" s="8"/>
      <c r="BX209" s="8"/>
      <c r="BY209" s="8"/>
      <c r="BZ209" s="8"/>
      <c r="CA209" s="8"/>
      <c r="CB209" s="8"/>
      <c r="CC209" s="8"/>
      <c r="CD209" s="8"/>
      <c r="CE209" s="8"/>
      <c r="CF209" s="8"/>
      <c r="CG209" s="8"/>
      <c r="CH209" s="8"/>
      <c r="CI209" s="8"/>
      <c r="CJ209" s="8"/>
      <c r="CK209" s="8"/>
      <c r="CL209" s="8"/>
      <c r="CM209" s="8"/>
      <c r="CN209" s="8"/>
      <c r="CO209" s="8"/>
      <c r="CP209" s="8"/>
      <c r="CQ209" s="8"/>
      <c r="CR209" s="8"/>
    </row>
    <row r="210" spans="1:96" x14ac:dyDescent="0.25">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c r="AB210" s="8"/>
      <c r="AC210" s="8"/>
      <c r="AD210" s="8"/>
      <c r="AE210" s="8"/>
      <c r="AF210" s="8"/>
      <c r="AG210" s="8"/>
      <c r="AH210" s="8"/>
      <c r="AI210" s="8"/>
      <c r="AJ210" s="8"/>
      <c r="AK210" s="8"/>
      <c r="AL210" s="8"/>
      <c r="AM210" s="8"/>
      <c r="AN210" s="8"/>
      <c r="AO210" s="8"/>
      <c r="AP210" s="8"/>
      <c r="AQ210" s="8"/>
      <c r="AR210" s="8"/>
      <c r="AS210" s="8"/>
      <c r="AT210" s="8"/>
      <c r="AU210" s="8"/>
      <c r="AV210" s="8"/>
      <c r="AW210" s="8"/>
      <c r="AX210" s="8"/>
      <c r="AY210" s="8"/>
      <c r="AZ210" s="8"/>
      <c r="BA210" s="8"/>
      <c r="BB210" s="8"/>
      <c r="BC210" s="8"/>
      <c r="BD210" s="8"/>
      <c r="BE210" s="8"/>
      <c r="BF210" s="8"/>
      <c r="BG210" s="8"/>
      <c r="BH210" s="8"/>
      <c r="BI210" s="8"/>
      <c r="BJ210" s="8"/>
      <c r="BK210" s="8"/>
      <c r="BL210" s="8"/>
      <c r="BM210" s="8"/>
      <c r="BN210" s="8"/>
      <c r="BO210" s="8"/>
      <c r="BP210" s="8"/>
      <c r="BQ210" s="8"/>
      <c r="BR210" s="8"/>
      <c r="BS210" s="8"/>
      <c r="BT210" s="8"/>
      <c r="BU210" s="8"/>
      <c r="BV210" s="8"/>
      <c r="BW210" s="8"/>
      <c r="BX210" s="8"/>
      <c r="BY210" s="8"/>
      <c r="BZ210" s="8"/>
      <c r="CA210" s="8"/>
      <c r="CB210" s="8"/>
      <c r="CC210" s="8"/>
      <c r="CD210" s="8"/>
      <c r="CE210" s="8"/>
      <c r="CF210" s="8"/>
      <c r="CG210" s="8"/>
      <c r="CH210" s="8"/>
      <c r="CI210" s="8"/>
      <c r="CJ210" s="8"/>
      <c r="CK210" s="8"/>
      <c r="CL210" s="8"/>
      <c r="CM210" s="8"/>
      <c r="CN210" s="8"/>
      <c r="CO210" s="8"/>
      <c r="CP210" s="8"/>
      <c r="CQ210" s="8"/>
      <c r="CR210" s="8"/>
    </row>
    <row r="211" spans="1:96" x14ac:dyDescent="0.25">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c r="AB211" s="8"/>
      <c r="AC211" s="8"/>
      <c r="AD211" s="8"/>
      <c r="AE211" s="8"/>
      <c r="AF211" s="8"/>
      <c r="AG211" s="8"/>
      <c r="AH211" s="8"/>
      <c r="AI211" s="8"/>
      <c r="AJ211" s="8"/>
      <c r="AK211" s="8"/>
      <c r="AL211" s="8"/>
      <c r="AM211" s="8"/>
      <c r="AN211" s="8"/>
      <c r="AO211" s="8"/>
      <c r="AP211" s="8"/>
      <c r="AQ211" s="8"/>
      <c r="AR211" s="8"/>
      <c r="AS211" s="8"/>
      <c r="AT211" s="8"/>
      <c r="AU211" s="8"/>
      <c r="AV211" s="8"/>
      <c r="AW211" s="8"/>
      <c r="AX211" s="8"/>
      <c r="AY211" s="8"/>
      <c r="AZ211" s="8"/>
      <c r="BA211" s="8"/>
      <c r="BB211" s="8"/>
      <c r="BC211" s="8"/>
      <c r="BD211" s="8"/>
      <c r="BE211" s="8"/>
      <c r="BF211" s="8"/>
      <c r="BG211" s="8"/>
      <c r="BH211" s="8"/>
      <c r="BI211" s="8"/>
      <c r="BJ211" s="8"/>
      <c r="BK211" s="8"/>
      <c r="BL211" s="8"/>
      <c r="BM211" s="8"/>
      <c r="BN211" s="8"/>
      <c r="BO211" s="8"/>
      <c r="BP211" s="8"/>
      <c r="BQ211" s="8"/>
      <c r="BR211" s="8"/>
      <c r="BS211" s="8"/>
      <c r="BT211" s="8"/>
      <c r="BU211" s="8"/>
      <c r="BV211" s="8"/>
      <c r="BW211" s="8"/>
      <c r="BX211" s="8"/>
      <c r="BY211" s="8"/>
      <c r="BZ211" s="8"/>
      <c r="CA211" s="8"/>
      <c r="CB211" s="8"/>
      <c r="CC211" s="8"/>
      <c r="CD211" s="8"/>
      <c r="CE211" s="8"/>
      <c r="CF211" s="8"/>
      <c r="CG211" s="8"/>
      <c r="CH211" s="8"/>
      <c r="CI211" s="8"/>
      <c r="CJ211" s="8"/>
      <c r="CK211" s="8"/>
      <c r="CL211" s="8"/>
      <c r="CM211" s="8"/>
      <c r="CN211" s="8"/>
      <c r="CO211" s="8"/>
      <c r="CP211" s="8"/>
      <c r="CQ211" s="8"/>
      <c r="CR211" s="8"/>
    </row>
    <row r="212" spans="1:96" x14ac:dyDescent="0.25">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c r="AB212" s="8"/>
      <c r="AC212" s="8"/>
      <c r="AD212" s="8"/>
      <c r="AE212" s="8"/>
      <c r="AF212" s="8"/>
      <c r="AG212" s="8"/>
      <c r="AH212" s="8"/>
      <c r="AI212" s="8"/>
      <c r="AJ212" s="8"/>
      <c r="AK212" s="8"/>
      <c r="AL212" s="8"/>
      <c r="AM212" s="8"/>
      <c r="AN212" s="8"/>
      <c r="AO212" s="8"/>
      <c r="AP212" s="8"/>
      <c r="AQ212" s="8"/>
      <c r="AR212" s="8"/>
      <c r="AS212" s="8"/>
      <c r="AT212" s="8"/>
      <c r="AU212" s="8"/>
      <c r="AV212" s="8"/>
      <c r="AW212" s="8"/>
      <c r="AX212" s="8"/>
      <c r="AY212" s="8"/>
      <c r="AZ212" s="8"/>
      <c r="BA212" s="8"/>
      <c r="BB212" s="8"/>
      <c r="BC212" s="8"/>
      <c r="BD212" s="8"/>
      <c r="BE212" s="8"/>
      <c r="BF212" s="8"/>
      <c r="BG212" s="8"/>
      <c r="BH212" s="8"/>
      <c r="BI212" s="8"/>
      <c r="BJ212" s="8"/>
      <c r="BK212" s="8"/>
      <c r="BL212" s="8"/>
      <c r="BM212" s="8"/>
      <c r="BN212" s="8"/>
      <c r="BO212" s="8"/>
      <c r="BP212" s="8"/>
      <c r="BQ212" s="8"/>
      <c r="BR212" s="8"/>
      <c r="BS212" s="8"/>
      <c r="BT212" s="8"/>
      <c r="BU212" s="8"/>
      <c r="BV212" s="8"/>
      <c r="BW212" s="8"/>
      <c r="BX212" s="8"/>
      <c r="BY212" s="8"/>
      <c r="BZ212" s="8"/>
      <c r="CA212" s="8"/>
      <c r="CB212" s="8"/>
      <c r="CC212" s="8"/>
      <c r="CD212" s="8"/>
      <c r="CE212" s="8"/>
      <c r="CF212" s="8"/>
      <c r="CG212" s="8"/>
      <c r="CH212" s="8"/>
      <c r="CI212" s="8"/>
      <c r="CJ212" s="8"/>
      <c r="CK212" s="8"/>
      <c r="CL212" s="8"/>
      <c r="CM212" s="8"/>
      <c r="CN212" s="8"/>
      <c r="CO212" s="8"/>
      <c r="CP212" s="8"/>
      <c r="CQ212" s="8"/>
      <c r="CR212" s="8"/>
    </row>
    <row r="213" spans="1:96" x14ac:dyDescent="0.25">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c r="AB213" s="8"/>
      <c r="AC213" s="8"/>
      <c r="AD213" s="8"/>
      <c r="AE213" s="8"/>
      <c r="AF213" s="8"/>
      <c r="AG213" s="8"/>
      <c r="AH213" s="8"/>
      <c r="AI213" s="8"/>
      <c r="AJ213" s="8"/>
      <c r="AK213" s="8"/>
      <c r="AL213" s="8"/>
      <c r="AM213" s="8"/>
      <c r="AN213" s="8"/>
      <c r="AO213" s="8"/>
      <c r="AP213" s="8"/>
      <c r="AQ213" s="8"/>
      <c r="AR213" s="8"/>
      <c r="AS213" s="8"/>
      <c r="AT213" s="8"/>
      <c r="AU213" s="8"/>
      <c r="AV213" s="8"/>
      <c r="AW213" s="8"/>
      <c r="AX213" s="8"/>
      <c r="AY213" s="8"/>
      <c r="AZ213" s="8"/>
      <c r="BA213" s="8"/>
      <c r="BB213" s="8"/>
      <c r="BC213" s="8"/>
      <c r="BD213" s="8"/>
      <c r="BE213" s="8"/>
      <c r="BF213" s="8"/>
      <c r="BG213" s="8"/>
      <c r="BH213" s="8"/>
      <c r="BI213" s="8"/>
      <c r="BJ213" s="8"/>
      <c r="BK213" s="8"/>
      <c r="BL213" s="8"/>
      <c r="BM213" s="8"/>
      <c r="BN213" s="8"/>
      <c r="BO213" s="8"/>
      <c r="BP213" s="8"/>
      <c r="BQ213" s="8"/>
      <c r="BR213" s="8"/>
      <c r="BS213" s="8"/>
      <c r="BT213" s="8"/>
      <c r="BU213" s="8"/>
      <c r="BV213" s="8"/>
      <c r="BW213" s="8"/>
      <c r="BX213" s="8"/>
      <c r="BY213" s="8"/>
      <c r="BZ213" s="8"/>
      <c r="CA213" s="8"/>
      <c r="CB213" s="8"/>
      <c r="CC213" s="8"/>
      <c r="CD213" s="8"/>
      <c r="CE213" s="8"/>
      <c r="CF213" s="8"/>
      <c r="CG213" s="8"/>
      <c r="CH213" s="8"/>
      <c r="CI213" s="8"/>
      <c r="CJ213" s="8"/>
      <c r="CK213" s="8"/>
      <c r="CL213" s="8"/>
      <c r="CM213" s="8"/>
      <c r="CN213" s="8"/>
      <c r="CO213" s="8"/>
      <c r="CP213" s="8"/>
      <c r="CQ213" s="8"/>
      <c r="CR213" s="8"/>
    </row>
    <row r="214" spans="1:96" x14ac:dyDescent="0.25">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c r="AB214" s="8"/>
      <c r="AC214" s="8"/>
      <c r="AD214" s="8"/>
      <c r="AE214" s="8"/>
      <c r="AF214" s="8"/>
      <c r="AG214" s="8"/>
      <c r="AH214" s="8"/>
      <c r="AI214" s="8"/>
      <c r="AJ214" s="8"/>
      <c r="AK214" s="8"/>
      <c r="AL214" s="8"/>
      <c r="AM214" s="8"/>
      <c r="AN214" s="8"/>
      <c r="AO214" s="8"/>
      <c r="AP214" s="8"/>
      <c r="AQ214" s="8"/>
      <c r="AR214" s="8"/>
      <c r="AS214" s="8"/>
      <c r="AT214" s="8"/>
      <c r="AU214" s="8"/>
      <c r="AV214" s="8"/>
      <c r="AW214" s="8"/>
      <c r="AX214" s="8"/>
      <c r="AY214" s="8"/>
      <c r="AZ214" s="8"/>
      <c r="BA214" s="8"/>
      <c r="BB214" s="8"/>
      <c r="BC214" s="8"/>
      <c r="BD214" s="8"/>
      <c r="BE214" s="8"/>
      <c r="BF214" s="8"/>
      <c r="BG214" s="8"/>
      <c r="BH214" s="8"/>
      <c r="BI214" s="8"/>
      <c r="BJ214" s="8"/>
      <c r="BK214" s="8"/>
      <c r="BL214" s="8"/>
      <c r="BM214" s="8"/>
      <c r="BN214" s="8"/>
      <c r="BO214" s="8"/>
      <c r="BP214" s="8"/>
      <c r="BQ214" s="8"/>
      <c r="BR214" s="8"/>
      <c r="BS214" s="8"/>
      <c r="BT214" s="8"/>
      <c r="BU214" s="8"/>
      <c r="BV214" s="8"/>
      <c r="BW214" s="8"/>
      <c r="BX214" s="8"/>
      <c r="BY214" s="8"/>
      <c r="BZ214" s="8"/>
      <c r="CA214" s="8"/>
      <c r="CB214" s="8"/>
      <c r="CC214" s="8"/>
      <c r="CD214" s="8"/>
      <c r="CE214" s="8"/>
      <c r="CF214" s="8"/>
      <c r="CG214" s="8"/>
      <c r="CH214" s="8"/>
      <c r="CI214" s="8"/>
      <c r="CJ214" s="8"/>
      <c r="CK214" s="8"/>
      <c r="CL214" s="8"/>
      <c r="CM214" s="8"/>
      <c r="CN214" s="8"/>
      <c r="CO214" s="8"/>
      <c r="CP214" s="8"/>
      <c r="CQ214" s="8"/>
      <c r="CR214" s="8"/>
    </row>
    <row r="215" spans="1:96" x14ac:dyDescent="0.2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c r="AB215" s="8"/>
      <c r="AC215" s="8"/>
      <c r="AD215" s="8"/>
      <c r="AE215" s="8"/>
      <c r="AF215" s="8"/>
      <c r="AG215" s="8"/>
      <c r="AH215" s="8"/>
      <c r="AI215" s="8"/>
      <c r="AJ215" s="8"/>
      <c r="AK215" s="8"/>
      <c r="AL215" s="8"/>
      <c r="AM215" s="8"/>
      <c r="AN215" s="8"/>
      <c r="AO215" s="8"/>
      <c r="AP215" s="8"/>
      <c r="AQ215" s="8"/>
      <c r="AR215" s="8"/>
      <c r="AS215" s="8"/>
      <c r="AT215" s="8"/>
      <c r="AU215" s="8"/>
      <c r="AV215" s="8"/>
      <c r="AW215" s="8"/>
      <c r="AX215" s="8"/>
      <c r="AY215" s="8"/>
      <c r="AZ215" s="8"/>
      <c r="BA215" s="8"/>
      <c r="BB215" s="8"/>
      <c r="BC215" s="8"/>
      <c r="BD215" s="8"/>
      <c r="BE215" s="8"/>
      <c r="BF215" s="8"/>
      <c r="BG215" s="8"/>
      <c r="BH215" s="8"/>
      <c r="BI215" s="8"/>
      <c r="BJ215" s="8"/>
      <c r="BK215" s="8"/>
      <c r="BL215" s="8"/>
      <c r="BM215" s="8"/>
      <c r="BN215" s="8"/>
      <c r="BO215" s="8"/>
      <c r="BP215" s="8"/>
      <c r="BQ215" s="8"/>
      <c r="BR215" s="8"/>
      <c r="BS215" s="8"/>
      <c r="BT215" s="8"/>
      <c r="BU215" s="8"/>
      <c r="BV215" s="8"/>
      <c r="BW215" s="8"/>
      <c r="BX215" s="8"/>
      <c r="BY215" s="8"/>
      <c r="BZ215" s="8"/>
      <c r="CA215" s="8"/>
      <c r="CB215" s="8"/>
      <c r="CC215" s="8"/>
      <c r="CD215" s="8"/>
      <c r="CE215" s="8"/>
      <c r="CF215" s="8"/>
      <c r="CG215" s="8"/>
      <c r="CH215" s="8"/>
      <c r="CI215" s="8"/>
      <c r="CJ215" s="8"/>
      <c r="CK215" s="8"/>
      <c r="CL215" s="8"/>
      <c r="CM215" s="8"/>
      <c r="CN215" s="8"/>
      <c r="CO215" s="8"/>
      <c r="CP215" s="8"/>
      <c r="CQ215" s="8"/>
      <c r="CR215" s="8"/>
    </row>
    <row r="216" spans="1:96" x14ac:dyDescent="0.25">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c r="AB216" s="8"/>
      <c r="AC216" s="8"/>
      <c r="AD216" s="8"/>
      <c r="AE216" s="8"/>
      <c r="AF216" s="8"/>
      <c r="AG216" s="8"/>
      <c r="AH216" s="8"/>
      <c r="AI216" s="8"/>
      <c r="AJ216" s="8"/>
      <c r="AK216" s="8"/>
      <c r="AL216" s="8"/>
      <c r="AM216" s="8"/>
      <c r="AN216" s="8"/>
      <c r="AO216" s="8"/>
      <c r="AP216" s="8"/>
      <c r="AQ216" s="8"/>
      <c r="AR216" s="8"/>
      <c r="AS216" s="8"/>
      <c r="AT216" s="8"/>
      <c r="AU216" s="8"/>
      <c r="AV216" s="8"/>
      <c r="AW216" s="8"/>
      <c r="AX216" s="8"/>
      <c r="AY216" s="8"/>
      <c r="AZ216" s="8"/>
      <c r="BA216" s="8"/>
      <c r="BB216" s="8"/>
      <c r="BC216" s="8"/>
      <c r="BD216" s="8"/>
      <c r="BE216" s="8"/>
      <c r="BF216" s="8"/>
      <c r="BG216" s="8"/>
      <c r="BH216" s="8"/>
      <c r="BI216" s="8"/>
      <c r="BJ216" s="8"/>
      <c r="BK216" s="8"/>
      <c r="BL216" s="8"/>
      <c r="BM216" s="8"/>
      <c r="BN216" s="8"/>
      <c r="BO216" s="8"/>
      <c r="BP216" s="8"/>
      <c r="BQ216" s="8"/>
      <c r="BR216" s="8"/>
      <c r="BS216" s="8"/>
      <c r="BT216" s="8"/>
      <c r="BU216" s="8"/>
      <c r="BV216" s="8"/>
      <c r="BW216" s="8"/>
      <c r="BX216" s="8"/>
      <c r="BY216" s="8"/>
      <c r="BZ216" s="8"/>
      <c r="CA216" s="8"/>
      <c r="CB216" s="8"/>
      <c r="CC216" s="8"/>
      <c r="CD216" s="8"/>
      <c r="CE216" s="8"/>
      <c r="CF216" s="8"/>
      <c r="CG216" s="8"/>
      <c r="CH216" s="8"/>
      <c r="CI216" s="8"/>
      <c r="CJ216" s="8"/>
      <c r="CK216" s="8"/>
      <c r="CL216" s="8"/>
      <c r="CM216" s="8"/>
      <c r="CN216" s="8"/>
      <c r="CO216" s="8"/>
      <c r="CP216" s="8"/>
      <c r="CQ216" s="8"/>
      <c r="CR216" s="8"/>
    </row>
    <row r="217" spans="1:96" x14ac:dyDescent="0.25">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c r="AB217" s="8"/>
      <c r="AC217" s="8"/>
      <c r="AD217" s="8"/>
      <c r="AE217" s="8"/>
      <c r="AF217" s="8"/>
      <c r="AG217" s="8"/>
      <c r="AH217" s="8"/>
      <c r="AI217" s="8"/>
      <c r="AJ217" s="8"/>
      <c r="AK217" s="8"/>
      <c r="AL217" s="8"/>
      <c r="AM217" s="8"/>
      <c r="AN217" s="8"/>
      <c r="AO217" s="8"/>
      <c r="AP217" s="8"/>
      <c r="AQ217" s="8"/>
      <c r="AR217" s="8"/>
      <c r="AS217" s="8"/>
      <c r="AT217" s="8"/>
      <c r="AU217" s="8"/>
      <c r="AV217" s="8"/>
      <c r="AW217" s="8"/>
      <c r="AX217" s="8"/>
      <c r="AY217" s="8"/>
      <c r="AZ217" s="8"/>
      <c r="BA217" s="8"/>
      <c r="BB217" s="8"/>
      <c r="BC217" s="8"/>
      <c r="BD217" s="8"/>
      <c r="BE217" s="8"/>
      <c r="BF217" s="8"/>
      <c r="BG217" s="8"/>
      <c r="BH217" s="8"/>
      <c r="BI217" s="8"/>
      <c r="BJ217" s="8"/>
      <c r="BK217" s="8"/>
      <c r="BL217" s="8"/>
      <c r="BM217" s="8"/>
      <c r="BN217" s="8"/>
      <c r="BO217" s="8"/>
      <c r="BP217" s="8"/>
      <c r="BQ217" s="8"/>
      <c r="BR217" s="8"/>
      <c r="BS217" s="8"/>
      <c r="BT217" s="8"/>
      <c r="BU217" s="8"/>
      <c r="BV217" s="8"/>
      <c r="BW217" s="8"/>
      <c r="BX217" s="8"/>
      <c r="BY217" s="8"/>
      <c r="BZ217" s="8"/>
      <c r="CA217" s="8"/>
      <c r="CB217" s="8"/>
      <c r="CC217" s="8"/>
      <c r="CD217" s="8"/>
      <c r="CE217" s="8"/>
      <c r="CF217" s="8"/>
      <c r="CG217" s="8"/>
      <c r="CH217" s="8"/>
      <c r="CI217" s="8"/>
      <c r="CJ217" s="8"/>
      <c r="CK217" s="8"/>
      <c r="CL217" s="8"/>
      <c r="CM217" s="8"/>
      <c r="CN217" s="8"/>
      <c r="CO217" s="8"/>
      <c r="CP217" s="8"/>
      <c r="CQ217" s="8"/>
      <c r="CR217" s="8"/>
    </row>
    <row r="218" spans="1:96" x14ac:dyDescent="0.25">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c r="AB218" s="8"/>
      <c r="AC218" s="8"/>
      <c r="AD218" s="8"/>
      <c r="AE218" s="8"/>
      <c r="AF218" s="8"/>
      <c r="AG218" s="8"/>
      <c r="AH218" s="8"/>
      <c r="AI218" s="8"/>
      <c r="AJ218" s="8"/>
      <c r="AK218" s="8"/>
      <c r="AL218" s="8"/>
      <c r="AM218" s="8"/>
      <c r="AN218" s="8"/>
      <c r="AO218" s="8"/>
      <c r="AP218" s="8"/>
      <c r="AQ218" s="8"/>
      <c r="AR218" s="8"/>
      <c r="AS218" s="8"/>
      <c r="AT218" s="8"/>
      <c r="AU218" s="8"/>
      <c r="AV218" s="8"/>
      <c r="AW218" s="8"/>
      <c r="AX218" s="8"/>
      <c r="AY218" s="8"/>
      <c r="AZ218" s="8"/>
      <c r="BA218" s="8"/>
      <c r="BB218" s="8"/>
      <c r="BC218" s="8"/>
      <c r="BD218" s="8"/>
      <c r="BE218" s="8"/>
      <c r="BF218" s="8"/>
      <c r="BG218" s="8"/>
      <c r="BH218" s="8"/>
      <c r="BI218" s="8"/>
      <c r="BJ218" s="8"/>
      <c r="BK218" s="8"/>
      <c r="BL218" s="8"/>
      <c r="BM218" s="8"/>
      <c r="BN218" s="8"/>
      <c r="BO218" s="8"/>
      <c r="BP218" s="8"/>
      <c r="BQ218" s="8"/>
      <c r="BR218" s="8"/>
      <c r="BS218" s="8"/>
      <c r="BT218" s="8"/>
      <c r="BU218" s="8"/>
      <c r="BV218" s="8"/>
      <c r="BW218" s="8"/>
      <c r="BX218" s="8"/>
      <c r="BY218" s="8"/>
      <c r="BZ218" s="8"/>
      <c r="CA218" s="8"/>
      <c r="CB218" s="8"/>
      <c r="CC218" s="8"/>
      <c r="CD218" s="8"/>
      <c r="CE218" s="8"/>
      <c r="CF218" s="8"/>
      <c r="CG218" s="8"/>
      <c r="CH218" s="8"/>
      <c r="CI218" s="8"/>
      <c r="CJ218" s="8"/>
      <c r="CK218" s="8"/>
      <c r="CL218" s="8"/>
      <c r="CM218" s="8"/>
      <c r="CN218" s="8"/>
      <c r="CO218" s="8"/>
      <c r="CP218" s="8"/>
      <c r="CQ218" s="8"/>
      <c r="CR218" s="8"/>
    </row>
    <row r="219" spans="1:96" x14ac:dyDescent="0.25">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c r="AB219" s="8"/>
      <c r="AC219" s="8"/>
      <c r="AD219" s="8"/>
      <c r="AE219" s="8"/>
      <c r="AF219" s="8"/>
      <c r="AG219" s="8"/>
      <c r="AH219" s="8"/>
      <c r="AI219" s="8"/>
      <c r="AJ219" s="8"/>
      <c r="AK219" s="8"/>
      <c r="AL219" s="8"/>
      <c r="AM219" s="8"/>
      <c r="AN219" s="8"/>
      <c r="AO219" s="8"/>
      <c r="AP219" s="8"/>
      <c r="AQ219" s="8"/>
      <c r="AR219" s="8"/>
      <c r="AS219" s="8"/>
      <c r="AT219" s="8"/>
      <c r="AU219" s="8"/>
      <c r="AV219" s="8"/>
      <c r="AW219" s="8"/>
      <c r="AX219" s="8"/>
      <c r="AY219" s="8"/>
      <c r="AZ219" s="8"/>
      <c r="BA219" s="8"/>
      <c r="BB219" s="8"/>
      <c r="BC219" s="8"/>
      <c r="BD219" s="8"/>
      <c r="BE219" s="8"/>
      <c r="BF219" s="8"/>
      <c r="BG219" s="8"/>
      <c r="BH219" s="8"/>
      <c r="BI219" s="8"/>
      <c r="BJ219" s="8"/>
      <c r="BK219" s="8"/>
      <c r="BL219" s="8"/>
      <c r="BM219" s="8"/>
      <c r="BN219" s="8"/>
      <c r="BO219" s="8"/>
      <c r="BP219" s="8"/>
      <c r="BQ219" s="8"/>
      <c r="BR219" s="8"/>
      <c r="BS219" s="8"/>
      <c r="BT219" s="8"/>
      <c r="BU219" s="8"/>
      <c r="BV219" s="8"/>
      <c r="BW219" s="8"/>
      <c r="BX219" s="8"/>
      <c r="BY219" s="8"/>
      <c r="BZ219" s="8"/>
      <c r="CA219" s="8"/>
      <c r="CB219" s="8"/>
      <c r="CC219" s="8"/>
      <c r="CD219" s="8"/>
      <c r="CE219" s="8"/>
      <c r="CF219" s="8"/>
      <c r="CG219" s="8"/>
      <c r="CH219" s="8"/>
      <c r="CI219" s="8"/>
      <c r="CJ219" s="8"/>
      <c r="CK219" s="8"/>
      <c r="CL219" s="8"/>
      <c r="CM219" s="8"/>
      <c r="CN219" s="8"/>
      <c r="CO219" s="8"/>
      <c r="CP219" s="8"/>
      <c r="CQ219" s="8"/>
      <c r="CR219" s="8"/>
    </row>
    <row r="220" spans="1:96" x14ac:dyDescent="0.25">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c r="AB220" s="8"/>
      <c r="AC220" s="8"/>
      <c r="AD220" s="8"/>
      <c r="AE220" s="8"/>
      <c r="AF220" s="8"/>
      <c r="AG220" s="8"/>
      <c r="AH220" s="8"/>
      <c r="AI220" s="8"/>
      <c r="AJ220" s="8"/>
      <c r="AK220" s="8"/>
      <c r="AL220" s="8"/>
      <c r="AM220" s="8"/>
      <c r="AN220" s="8"/>
      <c r="AO220" s="8"/>
      <c r="AP220" s="8"/>
      <c r="AQ220" s="8"/>
      <c r="AR220" s="8"/>
      <c r="AS220" s="8"/>
      <c r="AT220" s="8"/>
      <c r="AU220" s="8"/>
      <c r="AV220" s="8"/>
      <c r="AW220" s="8"/>
      <c r="AX220" s="8"/>
      <c r="AY220" s="8"/>
      <c r="AZ220" s="8"/>
      <c r="BA220" s="8"/>
      <c r="BB220" s="8"/>
      <c r="BC220" s="8"/>
      <c r="BD220" s="8"/>
      <c r="BE220" s="8"/>
      <c r="BF220" s="8"/>
      <c r="BG220" s="8"/>
      <c r="BH220" s="8"/>
      <c r="BI220" s="8"/>
      <c r="BJ220" s="8"/>
      <c r="BK220" s="8"/>
      <c r="BL220" s="8"/>
      <c r="BM220" s="8"/>
      <c r="BN220" s="8"/>
      <c r="BO220" s="8"/>
      <c r="BP220" s="8"/>
      <c r="BQ220" s="8"/>
      <c r="BR220" s="8"/>
      <c r="BS220" s="8"/>
      <c r="BT220" s="8"/>
      <c r="BU220" s="8"/>
      <c r="BV220" s="8"/>
      <c r="BW220" s="8"/>
      <c r="BX220" s="8"/>
      <c r="BY220" s="8"/>
      <c r="BZ220" s="8"/>
      <c r="CA220" s="8"/>
      <c r="CB220" s="8"/>
      <c r="CC220" s="8"/>
      <c r="CD220" s="8"/>
      <c r="CE220" s="8"/>
      <c r="CF220" s="8"/>
      <c r="CG220" s="8"/>
      <c r="CH220" s="8"/>
      <c r="CI220" s="8"/>
      <c r="CJ220" s="8"/>
      <c r="CK220" s="8"/>
      <c r="CL220" s="8"/>
      <c r="CM220" s="8"/>
      <c r="CN220" s="8"/>
      <c r="CO220" s="8"/>
      <c r="CP220" s="8"/>
      <c r="CQ220" s="8"/>
      <c r="CR220" s="8"/>
    </row>
    <row r="221" spans="1:96" x14ac:dyDescent="0.25">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c r="AC221" s="8"/>
      <c r="AD221" s="8"/>
      <c r="AE221" s="8"/>
      <c r="AF221" s="8"/>
      <c r="AG221" s="8"/>
      <c r="AH221" s="8"/>
      <c r="AI221" s="8"/>
      <c r="AJ221" s="8"/>
      <c r="AK221" s="8"/>
      <c r="AL221" s="8"/>
      <c r="AM221" s="8"/>
      <c r="AN221" s="8"/>
      <c r="AO221" s="8"/>
      <c r="AP221" s="8"/>
      <c r="AQ221" s="8"/>
      <c r="AR221" s="8"/>
      <c r="AS221" s="8"/>
      <c r="AT221" s="8"/>
      <c r="AU221" s="8"/>
      <c r="AV221" s="8"/>
      <c r="AW221" s="8"/>
      <c r="AX221" s="8"/>
      <c r="AY221" s="8"/>
      <c r="AZ221" s="8"/>
      <c r="BA221" s="8"/>
      <c r="BB221" s="8"/>
      <c r="BC221" s="8"/>
      <c r="BD221" s="8"/>
      <c r="BE221" s="8"/>
      <c r="BF221" s="8"/>
      <c r="BG221" s="8"/>
      <c r="BH221" s="8"/>
      <c r="BI221" s="8"/>
      <c r="BJ221" s="8"/>
      <c r="BK221" s="8"/>
      <c r="BL221" s="8"/>
      <c r="BM221" s="8"/>
      <c r="BN221" s="8"/>
      <c r="BO221" s="8"/>
      <c r="BP221" s="8"/>
      <c r="BQ221" s="8"/>
      <c r="BR221" s="8"/>
      <c r="BS221" s="8"/>
      <c r="BT221" s="8"/>
      <c r="BU221" s="8"/>
      <c r="BV221" s="8"/>
      <c r="BW221" s="8"/>
      <c r="BX221" s="8"/>
      <c r="BY221" s="8"/>
      <c r="BZ221" s="8"/>
      <c r="CA221" s="8"/>
      <c r="CB221" s="8"/>
      <c r="CC221" s="8"/>
      <c r="CD221" s="8"/>
      <c r="CE221" s="8"/>
      <c r="CF221" s="8"/>
      <c r="CG221" s="8"/>
      <c r="CH221" s="8"/>
      <c r="CI221" s="8"/>
      <c r="CJ221" s="8"/>
      <c r="CK221" s="8"/>
      <c r="CL221" s="8"/>
      <c r="CM221" s="8"/>
      <c r="CN221" s="8"/>
      <c r="CO221" s="8"/>
      <c r="CP221" s="8"/>
      <c r="CQ221" s="8"/>
      <c r="CR221" s="8"/>
    </row>
    <row r="222" spans="1:96" x14ac:dyDescent="0.25">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c r="AB222" s="8"/>
      <c r="AC222" s="8"/>
      <c r="AD222" s="8"/>
      <c r="AE222" s="8"/>
      <c r="AF222" s="8"/>
      <c r="AG222" s="8"/>
      <c r="AH222" s="8"/>
      <c r="AI222" s="8"/>
      <c r="AJ222" s="8"/>
      <c r="AK222" s="8"/>
      <c r="AL222" s="8"/>
      <c r="AM222" s="8"/>
      <c r="AN222" s="8"/>
      <c r="AO222" s="8"/>
      <c r="AP222" s="8"/>
      <c r="AQ222" s="8"/>
      <c r="AR222" s="8"/>
      <c r="AS222" s="8"/>
      <c r="AT222" s="8"/>
      <c r="AU222" s="8"/>
      <c r="AV222" s="8"/>
      <c r="AW222" s="8"/>
      <c r="AX222" s="8"/>
      <c r="AY222" s="8"/>
      <c r="AZ222" s="8"/>
      <c r="BA222" s="8"/>
      <c r="BB222" s="8"/>
      <c r="BC222" s="8"/>
      <c r="BD222" s="8"/>
      <c r="BE222" s="8"/>
      <c r="BF222" s="8"/>
      <c r="BG222" s="8"/>
      <c r="BH222" s="8"/>
      <c r="BI222" s="8"/>
      <c r="BJ222" s="8"/>
      <c r="BK222" s="8"/>
      <c r="BL222" s="8"/>
      <c r="BM222" s="8"/>
      <c r="BN222" s="8"/>
      <c r="BO222" s="8"/>
      <c r="BP222" s="8"/>
      <c r="BQ222" s="8"/>
      <c r="BR222" s="8"/>
      <c r="BS222" s="8"/>
      <c r="BT222" s="8"/>
      <c r="BU222" s="8"/>
      <c r="BV222" s="8"/>
      <c r="BW222" s="8"/>
      <c r="BX222" s="8"/>
      <c r="BY222" s="8"/>
      <c r="BZ222" s="8"/>
      <c r="CA222" s="8"/>
      <c r="CB222" s="8"/>
      <c r="CC222" s="8"/>
      <c r="CD222" s="8"/>
      <c r="CE222" s="8"/>
      <c r="CF222" s="8"/>
      <c r="CG222" s="8"/>
      <c r="CH222" s="8"/>
      <c r="CI222" s="8"/>
      <c r="CJ222" s="8"/>
      <c r="CK222" s="8"/>
      <c r="CL222" s="8"/>
      <c r="CM222" s="8"/>
      <c r="CN222" s="8"/>
      <c r="CO222" s="8"/>
      <c r="CP222" s="8"/>
      <c r="CQ222" s="8"/>
      <c r="CR222" s="8"/>
    </row>
    <row r="223" spans="1:96" x14ac:dyDescent="0.25">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c r="AD223" s="8"/>
      <c r="AE223" s="8"/>
      <c r="AF223" s="8"/>
      <c r="AG223" s="8"/>
      <c r="AH223" s="8"/>
      <c r="AI223" s="8"/>
      <c r="AJ223" s="8"/>
      <c r="AK223" s="8"/>
      <c r="AL223" s="8"/>
      <c r="AM223" s="8"/>
      <c r="AN223" s="8"/>
      <c r="AO223" s="8"/>
      <c r="AP223" s="8"/>
      <c r="AQ223" s="8"/>
      <c r="AR223" s="8"/>
      <c r="AS223" s="8"/>
      <c r="AT223" s="8"/>
      <c r="AU223" s="8"/>
      <c r="AV223" s="8"/>
      <c r="AW223" s="8"/>
      <c r="AX223" s="8"/>
      <c r="AY223" s="8"/>
      <c r="AZ223" s="8"/>
      <c r="BA223" s="8"/>
      <c r="BB223" s="8"/>
      <c r="BC223" s="8"/>
      <c r="BD223" s="8"/>
      <c r="BE223" s="8"/>
      <c r="BF223" s="8"/>
      <c r="BG223" s="8"/>
      <c r="BH223" s="8"/>
      <c r="BI223" s="8"/>
      <c r="BJ223" s="8"/>
      <c r="BK223" s="8"/>
      <c r="BL223" s="8"/>
      <c r="BM223" s="8"/>
      <c r="BN223" s="8"/>
      <c r="BO223" s="8"/>
      <c r="BP223" s="8"/>
      <c r="BQ223" s="8"/>
      <c r="BR223" s="8"/>
      <c r="BS223" s="8"/>
      <c r="BT223" s="8"/>
      <c r="BU223" s="8"/>
      <c r="BV223" s="8"/>
      <c r="BW223" s="8"/>
      <c r="BX223" s="8"/>
      <c r="BY223" s="8"/>
      <c r="BZ223" s="8"/>
      <c r="CA223" s="8"/>
      <c r="CB223" s="8"/>
      <c r="CC223" s="8"/>
      <c r="CD223" s="8"/>
      <c r="CE223" s="8"/>
      <c r="CF223" s="8"/>
      <c r="CG223" s="8"/>
      <c r="CH223" s="8"/>
      <c r="CI223" s="8"/>
      <c r="CJ223" s="8"/>
      <c r="CK223" s="8"/>
      <c r="CL223" s="8"/>
      <c r="CM223" s="8"/>
      <c r="CN223" s="8"/>
      <c r="CO223" s="8"/>
      <c r="CP223" s="8"/>
      <c r="CQ223" s="8"/>
      <c r="CR223" s="8"/>
    </row>
    <row r="224" spans="1:96" x14ac:dyDescent="0.25">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c r="AB224" s="8"/>
      <c r="AC224" s="8"/>
      <c r="AD224" s="8"/>
      <c r="AE224" s="8"/>
      <c r="AF224" s="8"/>
      <c r="AG224" s="8"/>
      <c r="AH224" s="8"/>
      <c r="AI224" s="8"/>
      <c r="AJ224" s="8"/>
      <c r="AK224" s="8"/>
      <c r="AL224" s="8"/>
      <c r="AM224" s="8"/>
      <c r="AN224" s="8"/>
      <c r="AO224" s="8"/>
      <c r="AP224" s="8"/>
      <c r="AQ224" s="8"/>
      <c r="AR224" s="8"/>
      <c r="AS224" s="8"/>
      <c r="AT224" s="8"/>
      <c r="AU224" s="8"/>
      <c r="AV224" s="8"/>
      <c r="AW224" s="8"/>
      <c r="AX224" s="8"/>
      <c r="AY224" s="8"/>
      <c r="AZ224" s="8"/>
      <c r="BA224" s="8"/>
      <c r="BB224" s="8"/>
      <c r="BC224" s="8"/>
      <c r="BD224" s="8"/>
      <c r="BE224" s="8"/>
      <c r="BF224" s="8"/>
      <c r="BG224" s="8"/>
      <c r="BH224" s="8"/>
      <c r="BI224" s="8"/>
      <c r="BJ224" s="8"/>
      <c r="BK224" s="8"/>
      <c r="BL224" s="8"/>
      <c r="BM224" s="8"/>
      <c r="BN224" s="8"/>
      <c r="BO224" s="8"/>
      <c r="BP224" s="8"/>
      <c r="BQ224" s="8"/>
      <c r="BR224" s="8"/>
      <c r="BS224" s="8"/>
      <c r="BT224" s="8"/>
      <c r="BU224" s="8"/>
      <c r="BV224" s="8"/>
      <c r="BW224" s="8"/>
      <c r="BX224" s="8"/>
      <c r="BY224" s="8"/>
      <c r="BZ224" s="8"/>
      <c r="CA224" s="8"/>
      <c r="CB224" s="8"/>
      <c r="CC224" s="8"/>
      <c r="CD224" s="8"/>
      <c r="CE224" s="8"/>
      <c r="CF224" s="8"/>
      <c r="CG224" s="8"/>
      <c r="CH224" s="8"/>
      <c r="CI224" s="8"/>
      <c r="CJ224" s="8"/>
      <c r="CK224" s="8"/>
      <c r="CL224" s="8"/>
      <c r="CM224" s="8"/>
      <c r="CN224" s="8"/>
      <c r="CO224" s="8"/>
      <c r="CP224" s="8"/>
      <c r="CQ224" s="8"/>
      <c r="CR224" s="8"/>
    </row>
    <row r="225" spans="1:96" x14ac:dyDescent="0.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c r="AB225" s="8"/>
      <c r="AC225" s="8"/>
      <c r="AD225" s="8"/>
      <c r="AE225" s="8"/>
      <c r="AF225" s="8"/>
      <c r="AG225" s="8"/>
      <c r="AH225" s="8"/>
      <c r="AI225" s="8"/>
      <c r="AJ225" s="8"/>
      <c r="AK225" s="8"/>
      <c r="AL225" s="8"/>
      <c r="AM225" s="8"/>
      <c r="AN225" s="8"/>
      <c r="AO225" s="8"/>
      <c r="AP225" s="8"/>
      <c r="AQ225" s="8"/>
      <c r="AR225" s="8"/>
      <c r="AS225" s="8"/>
      <c r="AT225" s="8"/>
      <c r="AU225" s="8"/>
      <c r="AV225" s="8"/>
      <c r="AW225" s="8"/>
      <c r="AX225" s="8"/>
      <c r="AY225" s="8"/>
      <c r="AZ225" s="8"/>
      <c r="BA225" s="8"/>
      <c r="BB225" s="8"/>
      <c r="BC225" s="8"/>
      <c r="BD225" s="8"/>
      <c r="BE225" s="8"/>
      <c r="BF225" s="8"/>
      <c r="BG225" s="8"/>
      <c r="BH225" s="8"/>
      <c r="BI225" s="8"/>
      <c r="BJ225" s="8"/>
      <c r="BK225" s="8"/>
      <c r="BL225" s="8"/>
      <c r="BM225" s="8"/>
      <c r="BN225" s="8"/>
      <c r="BO225" s="8"/>
      <c r="BP225" s="8"/>
      <c r="BQ225" s="8"/>
      <c r="BR225" s="8"/>
      <c r="BS225" s="8"/>
      <c r="BT225" s="8"/>
      <c r="BU225" s="8"/>
      <c r="BV225" s="8"/>
      <c r="BW225" s="8"/>
      <c r="BX225" s="8"/>
      <c r="BY225" s="8"/>
      <c r="BZ225" s="8"/>
      <c r="CA225" s="8"/>
      <c r="CB225" s="8"/>
      <c r="CC225" s="8"/>
      <c r="CD225" s="8"/>
      <c r="CE225" s="8"/>
      <c r="CF225" s="8"/>
      <c r="CG225" s="8"/>
      <c r="CH225" s="8"/>
      <c r="CI225" s="8"/>
      <c r="CJ225" s="8"/>
      <c r="CK225" s="8"/>
      <c r="CL225" s="8"/>
      <c r="CM225" s="8"/>
      <c r="CN225" s="8"/>
      <c r="CO225" s="8"/>
      <c r="CP225" s="8"/>
      <c r="CQ225" s="8"/>
      <c r="CR225" s="8"/>
    </row>
    <row r="226" spans="1:96" x14ac:dyDescent="0.25">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c r="AB226" s="8"/>
      <c r="AC226" s="8"/>
      <c r="AD226" s="8"/>
      <c r="AE226" s="8"/>
      <c r="AF226" s="8"/>
      <c r="AG226" s="8"/>
      <c r="AH226" s="8"/>
      <c r="AI226" s="8"/>
      <c r="AJ226" s="8"/>
      <c r="AK226" s="8"/>
      <c r="AL226" s="8"/>
      <c r="AM226" s="8"/>
      <c r="AN226" s="8"/>
      <c r="AO226" s="8"/>
      <c r="AP226" s="8"/>
      <c r="AQ226" s="8"/>
      <c r="AR226" s="8"/>
      <c r="AS226" s="8"/>
      <c r="AT226" s="8"/>
      <c r="AU226" s="8"/>
      <c r="AV226" s="8"/>
      <c r="AW226" s="8"/>
      <c r="AX226" s="8"/>
      <c r="AY226" s="8"/>
      <c r="AZ226" s="8"/>
      <c r="BA226" s="8"/>
      <c r="BB226" s="8"/>
      <c r="BC226" s="8"/>
      <c r="BD226" s="8"/>
      <c r="BE226" s="8"/>
      <c r="BF226" s="8"/>
      <c r="BG226" s="8"/>
      <c r="BH226" s="8"/>
      <c r="BI226" s="8"/>
      <c r="BJ226" s="8"/>
      <c r="BK226" s="8"/>
      <c r="BL226" s="8"/>
      <c r="BM226" s="8"/>
      <c r="BN226" s="8"/>
      <c r="BO226" s="8"/>
      <c r="BP226" s="8"/>
      <c r="BQ226" s="8"/>
      <c r="BR226" s="8"/>
      <c r="BS226" s="8"/>
      <c r="BT226" s="8"/>
      <c r="BU226" s="8"/>
      <c r="BV226" s="8"/>
      <c r="BW226" s="8"/>
      <c r="BX226" s="8"/>
      <c r="BY226" s="8"/>
      <c r="BZ226" s="8"/>
      <c r="CA226" s="8"/>
      <c r="CB226" s="8"/>
      <c r="CC226" s="8"/>
      <c r="CD226" s="8"/>
      <c r="CE226" s="8"/>
      <c r="CF226" s="8"/>
      <c r="CG226" s="8"/>
      <c r="CH226" s="8"/>
      <c r="CI226" s="8"/>
      <c r="CJ226" s="8"/>
      <c r="CK226" s="8"/>
      <c r="CL226" s="8"/>
      <c r="CM226" s="8"/>
      <c r="CN226" s="8"/>
      <c r="CO226" s="8"/>
      <c r="CP226" s="8"/>
      <c r="CQ226" s="8"/>
      <c r="CR226" s="8"/>
    </row>
    <row r="227" spans="1:96" x14ac:dyDescent="0.25">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c r="AB227" s="8"/>
      <c r="AC227" s="8"/>
      <c r="AD227" s="8"/>
      <c r="AE227" s="8"/>
      <c r="AF227" s="8"/>
      <c r="AG227" s="8"/>
      <c r="AH227" s="8"/>
      <c r="AI227" s="8"/>
      <c r="AJ227" s="8"/>
      <c r="AK227" s="8"/>
      <c r="AL227" s="8"/>
      <c r="AM227" s="8"/>
      <c r="AN227" s="8"/>
      <c r="AO227" s="8"/>
      <c r="AP227" s="8"/>
      <c r="AQ227" s="8"/>
      <c r="AR227" s="8"/>
      <c r="AS227" s="8"/>
      <c r="AT227" s="8"/>
      <c r="AU227" s="8"/>
      <c r="AV227" s="8"/>
      <c r="AW227" s="8"/>
      <c r="AX227" s="8"/>
      <c r="AY227" s="8"/>
      <c r="AZ227" s="8"/>
      <c r="BA227" s="8"/>
      <c r="BB227" s="8"/>
      <c r="BC227" s="8"/>
      <c r="BD227" s="8"/>
      <c r="BE227" s="8"/>
      <c r="BF227" s="8"/>
      <c r="BG227" s="8"/>
      <c r="BH227" s="8"/>
      <c r="BI227" s="8"/>
      <c r="BJ227" s="8"/>
      <c r="BK227" s="8"/>
      <c r="BL227" s="8"/>
      <c r="BM227" s="8"/>
      <c r="BN227" s="8"/>
      <c r="BO227" s="8"/>
      <c r="BP227" s="8"/>
      <c r="BQ227" s="8"/>
      <c r="BR227" s="8"/>
      <c r="BS227" s="8"/>
      <c r="BT227" s="8"/>
      <c r="BU227" s="8"/>
      <c r="BV227" s="8"/>
      <c r="BW227" s="8"/>
      <c r="BX227" s="8"/>
      <c r="BY227" s="8"/>
      <c r="BZ227" s="8"/>
      <c r="CA227" s="8"/>
      <c r="CB227" s="8"/>
      <c r="CC227" s="8"/>
      <c r="CD227" s="8"/>
      <c r="CE227" s="8"/>
      <c r="CF227" s="8"/>
      <c r="CG227" s="8"/>
      <c r="CH227" s="8"/>
      <c r="CI227" s="8"/>
      <c r="CJ227" s="8"/>
      <c r="CK227" s="8"/>
      <c r="CL227" s="8"/>
      <c r="CM227" s="8"/>
      <c r="CN227" s="8"/>
      <c r="CO227" s="8"/>
      <c r="CP227" s="8"/>
      <c r="CQ227" s="8"/>
      <c r="CR227" s="8"/>
    </row>
    <row r="228" spans="1:96" x14ac:dyDescent="0.25">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c r="AB228" s="8"/>
      <c r="AC228" s="8"/>
      <c r="AD228" s="8"/>
      <c r="AE228" s="8"/>
      <c r="AF228" s="8"/>
      <c r="AG228" s="8"/>
      <c r="AH228" s="8"/>
      <c r="AI228" s="8"/>
      <c r="AJ228" s="8"/>
      <c r="AK228" s="8"/>
      <c r="AL228" s="8"/>
      <c r="AM228" s="8"/>
      <c r="AN228" s="8"/>
      <c r="AO228" s="8"/>
      <c r="AP228" s="8"/>
      <c r="AQ228" s="8"/>
      <c r="AR228" s="8"/>
      <c r="AS228" s="8"/>
      <c r="AT228" s="8"/>
      <c r="AU228" s="8"/>
      <c r="AV228" s="8"/>
      <c r="AW228" s="8"/>
      <c r="AX228" s="8"/>
      <c r="AY228" s="8"/>
      <c r="AZ228" s="8"/>
      <c r="BA228" s="8"/>
      <c r="BB228" s="8"/>
      <c r="BC228" s="8"/>
      <c r="BD228" s="8"/>
      <c r="BE228" s="8"/>
      <c r="BF228" s="8"/>
      <c r="BG228" s="8"/>
      <c r="BH228" s="8"/>
      <c r="BI228" s="8"/>
      <c r="BJ228" s="8"/>
      <c r="BK228" s="8"/>
      <c r="BL228" s="8"/>
      <c r="BM228" s="8"/>
      <c r="BN228" s="8"/>
      <c r="BO228" s="8"/>
      <c r="BP228" s="8"/>
      <c r="BQ228" s="8"/>
      <c r="BR228" s="8"/>
      <c r="BS228" s="8"/>
      <c r="BT228" s="8"/>
      <c r="BU228" s="8"/>
      <c r="BV228" s="8"/>
      <c r="BW228" s="8"/>
      <c r="BX228" s="8"/>
      <c r="BY228" s="8"/>
      <c r="BZ228" s="8"/>
      <c r="CA228" s="8"/>
      <c r="CB228" s="8"/>
      <c r="CC228" s="8"/>
      <c r="CD228" s="8"/>
      <c r="CE228" s="8"/>
      <c r="CF228" s="8"/>
      <c r="CG228" s="8"/>
      <c r="CH228" s="8"/>
      <c r="CI228" s="8"/>
      <c r="CJ228" s="8"/>
      <c r="CK228" s="8"/>
      <c r="CL228" s="8"/>
      <c r="CM228" s="8"/>
      <c r="CN228" s="8"/>
      <c r="CO228" s="8"/>
      <c r="CP228" s="8"/>
      <c r="CQ228" s="8"/>
      <c r="CR228" s="8"/>
    </row>
    <row r="229" spans="1:96" x14ac:dyDescent="0.25">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c r="AB229" s="8"/>
      <c r="AC229" s="8"/>
      <c r="AD229" s="8"/>
      <c r="AE229" s="8"/>
      <c r="AF229" s="8"/>
      <c r="AG229" s="8"/>
      <c r="AH229" s="8"/>
      <c r="AI229" s="8"/>
      <c r="AJ229" s="8"/>
      <c r="AK229" s="8"/>
      <c r="AL229" s="8"/>
      <c r="AM229" s="8"/>
      <c r="AN229" s="8"/>
      <c r="AO229" s="8"/>
      <c r="AP229" s="8"/>
      <c r="AQ229" s="8"/>
      <c r="AR229" s="8"/>
      <c r="AS229" s="8"/>
      <c r="AT229" s="8"/>
      <c r="AU229" s="8"/>
      <c r="AV229" s="8"/>
      <c r="AW229" s="8"/>
      <c r="AX229" s="8"/>
      <c r="AY229" s="8"/>
      <c r="AZ229" s="8"/>
      <c r="BA229" s="8"/>
      <c r="BB229" s="8"/>
      <c r="BC229" s="8"/>
      <c r="BD229" s="8"/>
      <c r="BE229" s="8"/>
      <c r="BF229" s="8"/>
      <c r="BG229" s="8"/>
      <c r="BH229" s="8"/>
      <c r="BI229" s="8"/>
      <c r="BJ229" s="8"/>
      <c r="BK229" s="8"/>
      <c r="BL229" s="8"/>
      <c r="BM229" s="8"/>
      <c r="BN229" s="8"/>
      <c r="BO229" s="8"/>
      <c r="BP229" s="8"/>
      <c r="BQ229" s="8"/>
      <c r="BR229" s="8"/>
      <c r="BS229" s="8"/>
      <c r="BT229" s="8"/>
      <c r="BU229" s="8"/>
      <c r="BV229" s="8"/>
      <c r="BW229" s="8"/>
      <c r="BX229" s="8"/>
      <c r="BY229" s="8"/>
      <c r="BZ229" s="8"/>
      <c r="CA229" s="8"/>
      <c r="CB229" s="8"/>
      <c r="CC229" s="8"/>
      <c r="CD229" s="8"/>
      <c r="CE229" s="8"/>
      <c r="CF229" s="8"/>
      <c r="CG229" s="8"/>
      <c r="CH229" s="8"/>
      <c r="CI229" s="8"/>
      <c r="CJ229" s="8"/>
      <c r="CK229" s="8"/>
      <c r="CL229" s="8"/>
      <c r="CM229" s="8"/>
      <c r="CN229" s="8"/>
      <c r="CO229" s="8"/>
      <c r="CP229" s="8"/>
      <c r="CQ229" s="8"/>
      <c r="CR229" s="8"/>
    </row>
    <row r="230" spans="1:96" x14ac:dyDescent="0.25">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c r="AC230" s="8"/>
      <c r="AD230" s="8"/>
      <c r="AE230" s="8"/>
      <c r="AF230" s="8"/>
      <c r="AG230" s="8"/>
      <c r="AH230" s="8"/>
      <c r="AI230" s="8"/>
      <c r="AJ230" s="8"/>
      <c r="AK230" s="8"/>
      <c r="AL230" s="8"/>
      <c r="AM230" s="8"/>
      <c r="AN230" s="8"/>
      <c r="AO230" s="8"/>
      <c r="AP230" s="8"/>
      <c r="AQ230" s="8"/>
      <c r="AR230" s="8"/>
      <c r="AS230" s="8"/>
      <c r="AT230" s="8"/>
      <c r="AU230" s="8"/>
      <c r="AV230" s="8"/>
      <c r="AW230" s="8"/>
      <c r="AX230" s="8"/>
      <c r="AY230" s="8"/>
      <c r="AZ230" s="8"/>
      <c r="BA230" s="8"/>
      <c r="BB230" s="8"/>
      <c r="BC230" s="8"/>
      <c r="BD230" s="8"/>
      <c r="BE230" s="8"/>
      <c r="BF230" s="8"/>
      <c r="BG230" s="8"/>
      <c r="BH230" s="8"/>
      <c r="BI230" s="8"/>
      <c r="BJ230" s="8"/>
      <c r="BK230" s="8"/>
      <c r="BL230" s="8"/>
      <c r="BM230" s="8"/>
      <c r="BN230" s="8"/>
      <c r="BO230" s="8"/>
      <c r="BP230" s="8"/>
      <c r="BQ230" s="8"/>
      <c r="BR230" s="8"/>
      <c r="BS230" s="8"/>
      <c r="BT230" s="8"/>
      <c r="BU230" s="8"/>
      <c r="BV230" s="8"/>
      <c r="BW230" s="8"/>
      <c r="BX230" s="8"/>
      <c r="BY230" s="8"/>
      <c r="BZ230" s="8"/>
      <c r="CA230" s="8"/>
      <c r="CB230" s="8"/>
      <c r="CC230" s="8"/>
      <c r="CD230" s="8"/>
      <c r="CE230" s="8"/>
      <c r="CF230" s="8"/>
      <c r="CG230" s="8"/>
      <c r="CH230" s="8"/>
      <c r="CI230" s="8"/>
      <c r="CJ230" s="8"/>
      <c r="CK230" s="8"/>
      <c r="CL230" s="8"/>
      <c r="CM230" s="8"/>
      <c r="CN230" s="8"/>
      <c r="CO230" s="8"/>
      <c r="CP230" s="8"/>
      <c r="CQ230" s="8"/>
      <c r="CR230" s="8"/>
    </row>
    <row r="231" spans="1:96" x14ac:dyDescent="0.25">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c r="AB231" s="8"/>
      <c r="AC231" s="8"/>
      <c r="AD231" s="8"/>
      <c r="AE231" s="8"/>
      <c r="AF231" s="8"/>
      <c r="AG231" s="8"/>
      <c r="AH231" s="8"/>
      <c r="AI231" s="8"/>
      <c r="AJ231" s="8"/>
      <c r="AK231" s="8"/>
      <c r="AL231" s="8"/>
      <c r="AM231" s="8"/>
      <c r="AN231" s="8"/>
      <c r="AO231" s="8"/>
      <c r="AP231" s="8"/>
      <c r="AQ231" s="8"/>
      <c r="AR231" s="8"/>
      <c r="AS231" s="8"/>
      <c r="AT231" s="8"/>
      <c r="AU231" s="8"/>
      <c r="AV231" s="8"/>
      <c r="AW231" s="8"/>
      <c r="AX231" s="8"/>
      <c r="AY231" s="8"/>
      <c r="AZ231" s="8"/>
      <c r="BA231" s="8"/>
      <c r="BB231" s="8"/>
      <c r="BC231" s="8"/>
      <c r="BD231" s="8"/>
      <c r="BE231" s="8"/>
      <c r="BF231" s="8"/>
      <c r="BG231" s="8"/>
      <c r="BH231" s="8"/>
      <c r="BI231" s="8"/>
      <c r="BJ231" s="8"/>
      <c r="BK231" s="8"/>
      <c r="BL231" s="8"/>
      <c r="BM231" s="8"/>
      <c r="BN231" s="8"/>
      <c r="BO231" s="8"/>
      <c r="BP231" s="8"/>
      <c r="BQ231" s="8"/>
      <c r="BR231" s="8"/>
      <c r="BS231" s="8"/>
      <c r="BT231" s="8"/>
      <c r="BU231" s="8"/>
      <c r="BV231" s="8"/>
      <c r="BW231" s="8"/>
      <c r="BX231" s="8"/>
      <c r="BY231" s="8"/>
      <c r="BZ231" s="8"/>
      <c r="CA231" s="8"/>
      <c r="CB231" s="8"/>
      <c r="CC231" s="8"/>
      <c r="CD231" s="8"/>
      <c r="CE231" s="8"/>
      <c r="CF231" s="8"/>
      <c r="CG231" s="8"/>
      <c r="CH231" s="8"/>
      <c r="CI231" s="8"/>
      <c r="CJ231" s="8"/>
      <c r="CK231" s="8"/>
      <c r="CL231" s="8"/>
      <c r="CM231" s="8"/>
      <c r="CN231" s="8"/>
      <c r="CO231" s="8"/>
      <c r="CP231" s="8"/>
      <c r="CQ231" s="8"/>
      <c r="CR231" s="8"/>
    </row>
    <row r="232" spans="1:96" x14ac:dyDescent="0.25">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c r="AB232" s="8"/>
      <c r="AC232" s="8"/>
      <c r="AD232" s="8"/>
      <c r="AE232" s="8"/>
      <c r="AF232" s="8"/>
      <c r="AG232" s="8"/>
      <c r="AH232" s="8"/>
      <c r="AI232" s="8"/>
      <c r="AJ232" s="8"/>
      <c r="AK232" s="8"/>
      <c r="AL232" s="8"/>
      <c r="AM232" s="8"/>
      <c r="AN232" s="8"/>
      <c r="AO232" s="8"/>
      <c r="AP232" s="8"/>
      <c r="AQ232" s="8"/>
      <c r="AR232" s="8"/>
      <c r="AS232" s="8"/>
      <c r="AT232" s="8"/>
      <c r="AU232" s="8"/>
      <c r="AV232" s="8"/>
      <c r="AW232" s="8"/>
      <c r="AX232" s="8"/>
      <c r="AY232" s="8"/>
      <c r="AZ232" s="8"/>
      <c r="BA232" s="8"/>
      <c r="BB232" s="8"/>
      <c r="BC232" s="8"/>
      <c r="BD232" s="8"/>
      <c r="BE232" s="8"/>
      <c r="BF232" s="8"/>
      <c r="BG232" s="8"/>
      <c r="BH232" s="8"/>
      <c r="BI232" s="8"/>
      <c r="BJ232" s="8"/>
      <c r="BK232" s="8"/>
      <c r="BL232" s="8"/>
      <c r="BM232" s="8"/>
      <c r="BN232" s="8"/>
      <c r="BO232" s="8"/>
      <c r="BP232" s="8"/>
      <c r="BQ232" s="8"/>
      <c r="BR232" s="8"/>
      <c r="BS232" s="8"/>
      <c r="BT232" s="8"/>
      <c r="BU232" s="8"/>
      <c r="BV232" s="8"/>
      <c r="BW232" s="8"/>
      <c r="BX232" s="8"/>
      <c r="BY232" s="8"/>
      <c r="BZ232" s="8"/>
      <c r="CA232" s="8"/>
      <c r="CB232" s="8"/>
      <c r="CC232" s="8"/>
      <c r="CD232" s="8"/>
      <c r="CE232" s="8"/>
      <c r="CF232" s="8"/>
      <c r="CG232" s="8"/>
      <c r="CH232" s="8"/>
      <c r="CI232" s="8"/>
      <c r="CJ232" s="8"/>
      <c r="CK232" s="8"/>
      <c r="CL232" s="8"/>
      <c r="CM232" s="8"/>
      <c r="CN232" s="8"/>
      <c r="CO232" s="8"/>
      <c r="CP232" s="8"/>
      <c r="CQ232" s="8"/>
      <c r="CR232" s="8"/>
    </row>
    <row r="233" spans="1:96" x14ac:dyDescent="0.25">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c r="AB233" s="8"/>
      <c r="AC233" s="8"/>
      <c r="AD233" s="8"/>
      <c r="AE233" s="8"/>
      <c r="AF233" s="8"/>
      <c r="AG233" s="8"/>
      <c r="AH233" s="8"/>
      <c r="AI233" s="8"/>
      <c r="AJ233" s="8"/>
      <c r="AK233" s="8"/>
      <c r="AL233" s="8"/>
      <c r="AM233" s="8"/>
      <c r="AN233" s="8"/>
      <c r="AO233" s="8"/>
      <c r="AP233" s="8"/>
      <c r="AQ233" s="8"/>
      <c r="AR233" s="8"/>
      <c r="AS233" s="8"/>
      <c r="AT233" s="8"/>
      <c r="AU233" s="8"/>
      <c r="AV233" s="8"/>
      <c r="AW233" s="8"/>
      <c r="AX233" s="8"/>
      <c r="AY233" s="8"/>
      <c r="AZ233" s="8"/>
      <c r="BA233" s="8"/>
      <c r="BB233" s="8"/>
      <c r="BC233" s="8"/>
      <c r="BD233" s="8"/>
      <c r="BE233" s="8"/>
      <c r="BF233" s="8"/>
      <c r="BG233" s="8"/>
      <c r="BH233" s="8"/>
      <c r="BI233" s="8"/>
      <c r="BJ233" s="8"/>
      <c r="BK233" s="8"/>
      <c r="BL233" s="8"/>
      <c r="BM233" s="8"/>
      <c r="BN233" s="8"/>
      <c r="BO233" s="8"/>
      <c r="BP233" s="8"/>
      <c r="BQ233" s="8"/>
      <c r="BR233" s="8"/>
      <c r="BS233" s="8"/>
      <c r="BT233" s="8"/>
      <c r="BU233" s="8"/>
      <c r="BV233" s="8"/>
      <c r="BW233" s="8"/>
      <c r="BX233" s="8"/>
      <c r="BY233" s="8"/>
      <c r="BZ233" s="8"/>
      <c r="CA233" s="8"/>
      <c r="CB233" s="8"/>
      <c r="CC233" s="8"/>
      <c r="CD233" s="8"/>
      <c r="CE233" s="8"/>
      <c r="CF233" s="8"/>
      <c r="CG233" s="8"/>
      <c r="CH233" s="8"/>
      <c r="CI233" s="8"/>
      <c r="CJ233" s="8"/>
      <c r="CK233" s="8"/>
      <c r="CL233" s="8"/>
      <c r="CM233" s="8"/>
      <c r="CN233" s="8"/>
      <c r="CO233" s="8"/>
      <c r="CP233" s="8"/>
      <c r="CQ233" s="8"/>
      <c r="CR233" s="8"/>
    </row>
    <row r="234" spans="1:96" x14ac:dyDescent="0.25">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c r="AB234" s="8"/>
      <c r="AC234" s="8"/>
      <c r="AD234" s="8"/>
      <c r="AE234" s="8"/>
      <c r="AF234" s="8"/>
      <c r="AG234" s="8"/>
      <c r="AH234" s="8"/>
      <c r="AI234" s="8"/>
      <c r="AJ234" s="8"/>
      <c r="AK234" s="8"/>
      <c r="AL234" s="8"/>
      <c r="AM234" s="8"/>
      <c r="AN234" s="8"/>
      <c r="AO234" s="8"/>
      <c r="AP234" s="8"/>
      <c r="AQ234" s="8"/>
      <c r="AR234" s="8"/>
      <c r="AS234" s="8"/>
      <c r="AT234" s="8"/>
      <c r="AU234" s="8"/>
      <c r="AV234" s="8"/>
      <c r="AW234" s="8"/>
      <c r="AX234" s="8"/>
      <c r="AY234" s="8"/>
      <c r="AZ234" s="8"/>
      <c r="BA234" s="8"/>
      <c r="BB234" s="8"/>
      <c r="BC234" s="8"/>
      <c r="BD234" s="8"/>
      <c r="BE234" s="8"/>
      <c r="BF234" s="8"/>
      <c r="BG234" s="8"/>
      <c r="BH234" s="8"/>
      <c r="BI234" s="8"/>
      <c r="BJ234" s="8"/>
      <c r="BK234" s="8"/>
      <c r="BL234" s="8"/>
      <c r="BM234" s="8"/>
      <c r="BN234" s="8"/>
      <c r="BO234" s="8"/>
      <c r="BP234" s="8"/>
      <c r="BQ234" s="8"/>
      <c r="BR234" s="8"/>
      <c r="BS234" s="8"/>
      <c r="BT234" s="8"/>
      <c r="BU234" s="8"/>
      <c r="BV234" s="8"/>
      <c r="BW234" s="8"/>
      <c r="BX234" s="8"/>
      <c r="BY234" s="8"/>
      <c r="BZ234" s="8"/>
      <c r="CA234" s="8"/>
      <c r="CB234" s="8"/>
      <c r="CC234" s="8"/>
      <c r="CD234" s="8"/>
      <c r="CE234" s="8"/>
      <c r="CF234" s="8"/>
      <c r="CG234" s="8"/>
      <c r="CH234" s="8"/>
      <c r="CI234" s="8"/>
      <c r="CJ234" s="8"/>
      <c r="CK234" s="8"/>
      <c r="CL234" s="8"/>
      <c r="CM234" s="8"/>
      <c r="CN234" s="8"/>
      <c r="CO234" s="8"/>
      <c r="CP234" s="8"/>
      <c r="CQ234" s="8"/>
      <c r="CR234" s="8"/>
    </row>
    <row r="235" spans="1:96" x14ac:dyDescent="0.2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c r="AB235" s="8"/>
      <c r="AC235" s="8"/>
      <c r="AD235" s="8"/>
      <c r="AE235" s="8"/>
      <c r="AF235" s="8"/>
      <c r="AG235" s="8"/>
      <c r="AH235" s="8"/>
      <c r="AI235" s="8"/>
      <c r="AJ235" s="8"/>
      <c r="AK235" s="8"/>
      <c r="AL235" s="8"/>
      <c r="AM235" s="8"/>
      <c r="AN235" s="8"/>
      <c r="AO235" s="8"/>
      <c r="AP235" s="8"/>
      <c r="AQ235" s="8"/>
      <c r="AR235" s="8"/>
      <c r="AS235" s="8"/>
      <c r="AT235" s="8"/>
      <c r="AU235" s="8"/>
      <c r="AV235" s="8"/>
      <c r="AW235" s="8"/>
      <c r="AX235" s="8"/>
      <c r="AY235" s="8"/>
      <c r="AZ235" s="8"/>
      <c r="BA235" s="8"/>
      <c r="BB235" s="8"/>
      <c r="BC235" s="8"/>
      <c r="BD235" s="8"/>
      <c r="BE235" s="8"/>
      <c r="BF235" s="8"/>
      <c r="BG235" s="8"/>
      <c r="BH235" s="8"/>
      <c r="BI235" s="8"/>
      <c r="BJ235" s="8"/>
      <c r="BK235" s="8"/>
      <c r="BL235" s="8"/>
      <c r="BM235" s="8"/>
      <c r="BN235" s="8"/>
      <c r="BO235" s="8"/>
      <c r="BP235" s="8"/>
      <c r="BQ235" s="8"/>
      <c r="BR235" s="8"/>
      <c r="BS235" s="8"/>
      <c r="BT235" s="8"/>
      <c r="BU235" s="8"/>
      <c r="BV235" s="8"/>
      <c r="BW235" s="8"/>
      <c r="BX235" s="8"/>
      <c r="BY235" s="8"/>
      <c r="BZ235" s="8"/>
      <c r="CA235" s="8"/>
      <c r="CB235" s="8"/>
      <c r="CC235" s="8"/>
      <c r="CD235" s="8"/>
      <c r="CE235" s="8"/>
      <c r="CF235" s="8"/>
      <c r="CG235" s="8"/>
      <c r="CH235" s="8"/>
      <c r="CI235" s="8"/>
      <c r="CJ235" s="8"/>
      <c r="CK235" s="8"/>
      <c r="CL235" s="8"/>
      <c r="CM235" s="8"/>
      <c r="CN235" s="8"/>
      <c r="CO235" s="8"/>
      <c r="CP235" s="8"/>
      <c r="CQ235" s="8"/>
      <c r="CR235" s="8"/>
    </row>
    <row r="236" spans="1:96" x14ac:dyDescent="0.25">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c r="AB236" s="8"/>
      <c r="AC236" s="8"/>
      <c r="AD236" s="8"/>
      <c r="AE236" s="8"/>
      <c r="AF236" s="8"/>
      <c r="AG236" s="8"/>
      <c r="AH236" s="8"/>
      <c r="AI236" s="8"/>
      <c r="AJ236" s="8"/>
      <c r="AK236" s="8"/>
      <c r="AL236" s="8"/>
      <c r="AM236" s="8"/>
      <c r="AN236" s="8"/>
      <c r="AO236" s="8"/>
      <c r="AP236" s="8"/>
      <c r="AQ236" s="8"/>
      <c r="AR236" s="8"/>
      <c r="AS236" s="8"/>
      <c r="AT236" s="8"/>
      <c r="AU236" s="8"/>
      <c r="AV236" s="8"/>
      <c r="AW236" s="8"/>
      <c r="AX236" s="8"/>
      <c r="AY236" s="8"/>
      <c r="AZ236" s="8"/>
      <c r="BA236" s="8"/>
      <c r="BB236" s="8"/>
      <c r="BC236" s="8"/>
      <c r="BD236" s="8"/>
      <c r="BE236" s="8"/>
      <c r="BF236" s="8"/>
      <c r="BG236" s="8"/>
      <c r="BH236" s="8"/>
      <c r="BI236" s="8"/>
      <c r="BJ236" s="8"/>
      <c r="BK236" s="8"/>
      <c r="BL236" s="8"/>
      <c r="BM236" s="8"/>
      <c r="BN236" s="8"/>
      <c r="BO236" s="8"/>
      <c r="BP236" s="8"/>
      <c r="BQ236" s="8"/>
      <c r="BR236" s="8"/>
      <c r="BS236" s="8"/>
      <c r="BT236" s="8"/>
      <c r="BU236" s="8"/>
      <c r="BV236" s="8"/>
      <c r="BW236" s="8"/>
      <c r="BX236" s="8"/>
      <c r="BY236" s="8"/>
      <c r="BZ236" s="8"/>
      <c r="CA236" s="8"/>
      <c r="CB236" s="8"/>
      <c r="CC236" s="8"/>
      <c r="CD236" s="8"/>
      <c r="CE236" s="8"/>
      <c r="CF236" s="8"/>
      <c r="CG236" s="8"/>
      <c r="CH236" s="8"/>
      <c r="CI236" s="8"/>
      <c r="CJ236" s="8"/>
      <c r="CK236" s="8"/>
      <c r="CL236" s="8"/>
      <c r="CM236" s="8"/>
      <c r="CN236" s="8"/>
      <c r="CO236" s="8"/>
      <c r="CP236" s="8"/>
      <c r="CQ236" s="8"/>
      <c r="CR236" s="8"/>
    </row>
    <row r="237" spans="1:96" x14ac:dyDescent="0.25">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c r="AC237" s="8"/>
      <c r="AD237" s="8"/>
      <c r="AE237" s="8"/>
      <c r="AF237" s="8"/>
      <c r="AG237" s="8"/>
      <c r="AH237" s="8"/>
      <c r="AI237" s="8"/>
      <c r="AJ237" s="8"/>
      <c r="AK237" s="8"/>
      <c r="AL237" s="8"/>
      <c r="AM237" s="8"/>
      <c r="AN237" s="8"/>
      <c r="AO237" s="8"/>
      <c r="AP237" s="8"/>
      <c r="AQ237" s="8"/>
      <c r="AR237" s="8"/>
      <c r="AS237" s="8"/>
      <c r="AT237" s="8"/>
      <c r="AU237" s="8"/>
      <c r="AV237" s="8"/>
      <c r="AW237" s="8"/>
      <c r="AX237" s="8"/>
      <c r="AY237" s="8"/>
      <c r="AZ237" s="8"/>
      <c r="BA237" s="8"/>
      <c r="BB237" s="8"/>
      <c r="BC237" s="8"/>
      <c r="BD237" s="8"/>
      <c r="BE237" s="8"/>
      <c r="BF237" s="8"/>
      <c r="BG237" s="8"/>
      <c r="BH237" s="8"/>
      <c r="BI237" s="8"/>
      <c r="BJ237" s="8"/>
      <c r="BK237" s="8"/>
      <c r="BL237" s="8"/>
      <c r="BM237" s="8"/>
      <c r="BN237" s="8"/>
      <c r="BO237" s="8"/>
      <c r="BP237" s="8"/>
      <c r="BQ237" s="8"/>
      <c r="BR237" s="8"/>
      <c r="BS237" s="8"/>
      <c r="BT237" s="8"/>
      <c r="BU237" s="8"/>
      <c r="BV237" s="8"/>
      <c r="BW237" s="8"/>
      <c r="BX237" s="8"/>
      <c r="BY237" s="8"/>
      <c r="BZ237" s="8"/>
      <c r="CA237" s="8"/>
      <c r="CB237" s="8"/>
      <c r="CC237" s="8"/>
      <c r="CD237" s="8"/>
      <c r="CE237" s="8"/>
      <c r="CF237" s="8"/>
      <c r="CG237" s="8"/>
      <c r="CH237" s="8"/>
      <c r="CI237" s="8"/>
      <c r="CJ237" s="8"/>
      <c r="CK237" s="8"/>
      <c r="CL237" s="8"/>
      <c r="CM237" s="8"/>
      <c r="CN237" s="8"/>
      <c r="CO237" s="8"/>
      <c r="CP237" s="8"/>
      <c r="CQ237" s="8"/>
      <c r="CR237" s="8"/>
    </row>
    <row r="238" spans="1:96" x14ac:dyDescent="0.25">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c r="AB238" s="8"/>
      <c r="AC238" s="8"/>
      <c r="AD238" s="8"/>
      <c r="AE238" s="8"/>
      <c r="AF238" s="8"/>
      <c r="AG238" s="8"/>
      <c r="AH238" s="8"/>
      <c r="AI238" s="8"/>
      <c r="AJ238" s="8"/>
      <c r="AK238" s="8"/>
      <c r="AL238" s="8"/>
      <c r="AM238" s="8"/>
      <c r="AN238" s="8"/>
      <c r="AO238" s="8"/>
      <c r="AP238" s="8"/>
      <c r="AQ238" s="8"/>
      <c r="AR238" s="8"/>
      <c r="AS238" s="8"/>
      <c r="AT238" s="8"/>
      <c r="AU238" s="8"/>
      <c r="AV238" s="8"/>
      <c r="AW238" s="8"/>
      <c r="AX238" s="8"/>
      <c r="AY238" s="8"/>
      <c r="AZ238" s="8"/>
      <c r="BA238" s="8"/>
      <c r="BB238" s="8"/>
      <c r="BC238" s="8"/>
      <c r="BD238" s="8"/>
      <c r="BE238" s="8"/>
      <c r="BF238" s="8"/>
      <c r="BG238" s="8"/>
      <c r="BH238" s="8"/>
      <c r="BI238" s="8"/>
      <c r="BJ238" s="8"/>
      <c r="BK238" s="8"/>
      <c r="BL238" s="8"/>
      <c r="BM238" s="8"/>
      <c r="BN238" s="8"/>
      <c r="BO238" s="8"/>
      <c r="BP238" s="8"/>
      <c r="BQ238" s="8"/>
      <c r="BR238" s="8"/>
      <c r="BS238" s="8"/>
      <c r="BT238" s="8"/>
      <c r="BU238" s="8"/>
      <c r="BV238" s="8"/>
      <c r="BW238" s="8"/>
      <c r="BX238" s="8"/>
      <c r="BY238" s="8"/>
      <c r="BZ238" s="8"/>
      <c r="CA238" s="8"/>
      <c r="CB238" s="8"/>
      <c r="CC238" s="8"/>
      <c r="CD238" s="8"/>
      <c r="CE238" s="8"/>
      <c r="CF238" s="8"/>
      <c r="CG238" s="8"/>
      <c r="CH238" s="8"/>
      <c r="CI238" s="8"/>
      <c r="CJ238" s="8"/>
      <c r="CK238" s="8"/>
      <c r="CL238" s="8"/>
      <c r="CM238" s="8"/>
      <c r="CN238" s="8"/>
      <c r="CO238" s="8"/>
      <c r="CP238" s="8"/>
      <c r="CQ238" s="8"/>
      <c r="CR238" s="8"/>
    </row>
    <row r="239" spans="1:96" x14ac:dyDescent="0.25">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c r="AB239" s="8"/>
      <c r="AC239" s="8"/>
      <c r="AD239" s="8"/>
      <c r="AE239" s="8"/>
      <c r="AF239" s="8"/>
      <c r="AG239" s="8"/>
      <c r="AH239" s="8"/>
      <c r="AI239" s="8"/>
      <c r="AJ239" s="8"/>
      <c r="AK239" s="8"/>
      <c r="AL239" s="8"/>
      <c r="AM239" s="8"/>
      <c r="AN239" s="8"/>
      <c r="AO239" s="8"/>
      <c r="AP239" s="8"/>
      <c r="AQ239" s="8"/>
      <c r="AR239" s="8"/>
      <c r="AS239" s="8"/>
      <c r="AT239" s="8"/>
      <c r="AU239" s="8"/>
      <c r="AV239" s="8"/>
      <c r="AW239" s="8"/>
      <c r="AX239" s="8"/>
      <c r="AY239" s="8"/>
      <c r="AZ239" s="8"/>
      <c r="BA239" s="8"/>
      <c r="BB239" s="8"/>
      <c r="BC239" s="8"/>
      <c r="BD239" s="8"/>
      <c r="BE239" s="8"/>
      <c r="BF239" s="8"/>
      <c r="BG239" s="8"/>
      <c r="BH239" s="8"/>
      <c r="BI239" s="8"/>
      <c r="BJ239" s="8"/>
      <c r="BK239" s="8"/>
      <c r="BL239" s="8"/>
      <c r="BM239" s="8"/>
      <c r="BN239" s="8"/>
      <c r="BO239" s="8"/>
      <c r="BP239" s="8"/>
      <c r="BQ239" s="8"/>
      <c r="BR239" s="8"/>
      <c r="BS239" s="8"/>
      <c r="BT239" s="8"/>
      <c r="BU239" s="8"/>
      <c r="BV239" s="8"/>
      <c r="BW239" s="8"/>
      <c r="BX239" s="8"/>
      <c r="BY239" s="8"/>
      <c r="BZ239" s="8"/>
      <c r="CA239" s="8"/>
      <c r="CB239" s="8"/>
      <c r="CC239" s="8"/>
      <c r="CD239" s="8"/>
      <c r="CE239" s="8"/>
      <c r="CF239" s="8"/>
      <c r="CG239" s="8"/>
      <c r="CH239" s="8"/>
      <c r="CI239" s="8"/>
      <c r="CJ239" s="8"/>
      <c r="CK239" s="8"/>
      <c r="CL239" s="8"/>
      <c r="CM239" s="8"/>
      <c r="CN239" s="8"/>
      <c r="CO239" s="8"/>
      <c r="CP239" s="8"/>
      <c r="CQ239" s="8"/>
      <c r="CR239" s="8"/>
    </row>
    <row r="240" spans="1:96" x14ac:dyDescent="0.25">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c r="AB240" s="8"/>
      <c r="AC240" s="8"/>
      <c r="AD240" s="8"/>
      <c r="AE240" s="8"/>
      <c r="AF240" s="8"/>
      <c r="AG240" s="8"/>
      <c r="AH240" s="8"/>
      <c r="AI240" s="8"/>
      <c r="AJ240" s="8"/>
      <c r="AK240" s="8"/>
      <c r="AL240" s="8"/>
      <c r="AM240" s="8"/>
      <c r="AN240" s="8"/>
      <c r="AO240" s="8"/>
      <c r="AP240" s="8"/>
      <c r="AQ240" s="8"/>
      <c r="AR240" s="8"/>
      <c r="AS240" s="8"/>
      <c r="AT240" s="8"/>
      <c r="AU240" s="8"/>
      <c r="AV240" s="8"/>
      <c r="AW240" s="8"/>
      <c r="AX240" s="8"/>
      <c r="AY240" s="8"/>
      <c r="AZ240" s="8"/>
      <c r="BA240" s="8"/>
      <c r="BB240" s="8"/>
      <c r="BC240" s="8"/>
      <c r="BD240" s="8"/>
      <c r="BE240" s="8"/>
      <c r="BF240" s="8"/>
      <c r="BG240" s="8"/>
      <c r="BH240" s="8"/>
      <c r="BI240" s="8"/>
      <c r="BJ240" s="8"/>
      <c r="BK240" s="8"/>
      <c r="BL240" s="8"/>
      <c r="BM240" s="8"/>
      <c r="BN240" s="8"/>
      <c r="BO240" s="8"/>
      <c r="BP240" s="8"/>
      <c r="BQ240" s="8"/>
      <c r="BR240" s="8"/>
      <c r="BS240" s="8"/>
      <c r="BT240" s="8"/>
      <c r="BU240" s="8"/>
      <c r="BV240" s="8"/>
      <c r="BW240" s="8"/>
      <c r="BX240" s="8"/>
      <c r="BY240" s="8"/>
      <c r="BZ240" s="8"/>
      <c r="CA240" s="8"/>
      <c r="CB240" s="8"/>
      <c r="CC240" s="8"/>
      <c r="CD240" s="8"/>
      <c r="CE240" s="8"/>
      <c r="CF240" s="8"/>
      <c r="CG240" s="8"/>
      <c r="CH240" s="8"/>
      <c r="CI240" s="8"/>
      <c r="CJ240" s="8"/>
      <c r="CK240" s="8"/>
      <c r="CL240" s="8"/>
      <c r="CM240" s="8"/>
      <c r="CN240" s="8"/>
      <c r="CO240" s="8"/>
      <c r="CP240" s="8"/>
      <c r="CQ240" s="8"/>
      <c r="CR240" s="8"/>
    </row>
    <row r="241" spans="1:96" x14ac:dyDescent="0.25">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8"/>
      <c r="AD241" s="8"/>
      <c r="AE241" s="8"/>
      <c r="AF241" s="8"/>
      <c r="AG241" s="8"/>
      <c r="AH241" s="8"/>
      <c r="AI241" s="8"/>
      <c r="AJ241" s="8"/>
      <c r="AK241" s="8"/>
      <c r="AL241" s="8"/>
      <c r="AM241" s="8"/>
      <c r="AN241" s="8"/>
      <c r="AO241" s="8"/>
      <c r="AP241" s="8"/>
      <c r="AQ241" s="8"/>
      <c r="AR241" s="8"/>
      <c r="AS241" s="8"/>
      <c r="AT241" s="8"/>
      <c r="AU241" s="8"/>
      <c r="AV241" s="8"/>
      <c r="AW241" s="8"/>
      <c r="AX241" s="8"/>
      <c r="AY241" s="8"/>
      <c r="AZ241" s="8"/>
      <c r="BA241" s="8"/>
      <c r="BB241" s="8"/>
      <c r="BC241" s="8"/>
      <c r="BD241" s="8"/>
      <c r="BE241" s="8"/>
      <c r="BF241" s="8"/>
      <c r="BG241" s="8"/>
      <c r="BH241" s="8"/>
      <c r="BI241" s="8"/>
      <c r="BJ241" s="8"/>
      <c r="BK241" s="8"/>
      <c r="BL241" s="8"/>
      <c r="BM241" s="8"/>
      <c r="BN241" s="8"/>
      <c r="BO241" s="8"/>
      <c r="BP241" s="8"/>
      <c r="BQ241" s="8"/>
      <c r="BR241" s="8"/>
      <c r="BS241" s="8"/>
      <c r="BT241" s="8"/>
      <c r="BU241" s="8"/>
      <c r="BV241" s="8"/>
      <c r="BW241" s="8"/>
      <c r="BX241" s="8"/>
      <c r="BY241" s="8"/>
      <c r="BZ241" s="8"/>
      <c r="CA241" s="8"/>
      <c r="CB241" s="8"/>
      <c r="CC241" s="8"/>
      <c r="CD241" s="8"/>
      <c r="CE241" s="8"/>
      <c r="CF241" s="8"/>
      <c r="CG241" s="8"/>
      <c r="CH241" s="8"/>
      <c r="CI241" s="8"/>
      <c r="CJ241" s="8"/>
      <c r="CK241" s="8"/>
      <c r="CL241" s="8"/>
      <c r="CM241" s="8"/>
      <c r="CN241" s="8"/>
      <c r="CO241" s="8"/>
      <c r="CP241" s="8"/>
      <c r="CQ241" s="8"/>
      <c r="CR241" s="8"/>
    </row>
    <row r="242" spans="1:96" x14ac:dyDescent="0.25">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c r="AB242" s="8"/>
      <c r="AC242" s="8"/>
      <c r="AD242" s="8"/>
      <c r="AE242" s="8"/>
      <c r="AF242" s="8"/>
      <c r="AG242" s="8"/>
      <c r="AH242" s="8"/>
      <c r="AI242" s="8"/>
      <c r="AJ242" s="8"/>
      <c r="AK242" s="8"/>
      <c r="AL242" s="8"/>
      <c r="AM242" s="8"/>
      <c r="AN242" s="8"/>
      <c r="AO242" s="8"/>
      <c r="AP242" s="8"/>
      <c r="AQ242" s="8"/>
      <c r="AR242" s="8"/>
      <c r="AS242" s="8"/>
      <c r="AT242" s="8"/>
      <c r="AU242" s="8"/>
      <c r="AV242" s="8"/>
      <c r="AW242" s="8"/>
      <c r="AX242" s="8"/>
      <c r="AY242" s="8"/>
      <c r="AZ242" s="8"/>
      <c r="BA242" s="8"/>
      <c r="BB242" s="8"/>
      <c r="BC242" s="8"/>
      <c r="BD242" s="8"/>
      <c r="BE242" s="8"/>
      <c r="BF242" s="8"/>
      <c r="BG242" s="8"/>
      <c r="BH242" s="8"/>
      <c r="BI242" s="8"/>
      <c r="BJ242" s="8"/>
      <c r="BK242" s="8"/>
      <c r="BL242" s="8"/>
      <c r="BM242" s="8"/>
      <c r="BN242" s="8"/>
      <c r="BO242" s="8"/>
      <c r="BP242" s="8"/>
      <c r="BQ242" s="8"/>
      <c r="BR242" s="8"/>
      <c r="BS242" s="8"/>
      <c r="BT242" s="8"/>
      <c r="BU242" s="8"/>
      <c r="BV242" s="8"/>
      <c r="BW242" s="8"/>
      <c r="BX242" s="8"/>
      <c r="BY242" s="8"/>
      <c r="BZ242" s="8"/>
      <c r="CA242" s="8"/>
      <c r="CB242" s="8"/>
      <c r="CC242" s="8"/>
      <c r="CD242" s="8"/>
      <c r="CE242" s="8"/>
      <c r="CF242" s="8"/>
      <c r="CG242" s="8"/>
      <c r="CH242" s="8"/>
      <c r="CI242" s="8"/>
      <c r="CJ242" s="8"/>
      <c r="CK242" s="8"/>
      <c r="CL242" s="8"/>
      <c r="CM242" s="8"/>
      <c r="CN242" s="8"/>
      <c r="CO242" s="8"/>
      <c r="CP242" s="8"/>
      <c r="CQ242" s="8"/>
      <c r="CR242" s="8"/>
    </row>
    <row r="243" spans="1:96" x14ac:dyDescent="0.25">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c r="AB243" s="8"/>
      <c r="AC243" s="8"/>
      <c r="AD243" s="8"/>
      <c r="AE243" s="8"/>
      <c r="AF243" s="8"/>
      <c r="AG243" s="8"/>
      <c r="AH243" s="8"/>
      <c r="AI243" s="8"/>
      <c r="AJ243" s="8"/>
      <c r="AK243" s="8"/>
      <c r="AL243" s="8"/>
      <c r="AM243" s="8"/>
      <c r="AN243" s="8"/>
      <c r="AO243" s="8"/>
      <c r="AP243" s="8"/>
      <c r="AQ243" s="8"/>
      <c r="AR243" s="8"/>
      <c r="AS243" s="8"/>
      <c r="AT243" s="8"/>
      <c r="AU243" s="8"/>
      <c r="AV243" s="8"/>
      <c r="AW243" s="8"/>
      <c r="AX243" s="8"/>
      <c r="AY243" s="8"/>
      <c r="AZ243" s="8"/>
      <c r="BA243" s="8"/>
      <c r="BB243" s="8"/>
      <c r="BC243" s="8"/>
      <c r="BD243" s="8"/>
      <c r="BE243" s="8"/>
      <c r="BF243" s="8"/>
      <c r="BG243" s="8"/>
      <c r="BH243" s="8"/>
      <c r="BI243" s="8"/>
      <c r="BJ243" s="8"/>
      <c r="BK243" s="8"/>
      <c r="BL243" s="8"/>
      <c r="BM243" s="8"/>
      <c r="BN243" s="8"/>
      <c r="BO243" s="8"/>
      <c r="BP243" s="8"/>
      <c r="BQ243" s="8"/>
      <c r="BR243" s="8"/>
      <c r="BS243" s="8"/>
      <c r="BT243" s="8"/>
      <c r="BU243" s="8"/>
      <c r="BV243" s="8"/>
      <c r="BW243" s="8"/>
      <c r="BX243" s="8"/>
      <c r="BY243" s="8"/>
      <c r="BZ243" s="8"/>
      <c r="CA243" s="8"/>
      <c r="CB243" s="8"/>
      <c r="CC243" s="8"/>
      <c r="CD243" s="8"/>
      <c r="CE243" s="8"/>
      <c r="CF243" s="8"/>
      <c r="CG243" s="8"/>
      <c r="CH243" s="8"/>
      <c r="CI243" s="8"/>
      <c r="CJ243" s="8"/>
      <c r="CK243" s="8"/>
      <c r="CL243" s="8"/>
      <c r="CM243" s="8"/>
      <c r="CN243" s="8"/>
      <c r="CO243" s="8"/>
      <c r="CP243" s="8"/>
      <c r="CQ243" s="8"/>
      <c r="CR243" s="8"/>
    </row>
    <row r="244" spans="1:96" x14ac:dyDescent="0.25">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8"/>
      <c r="AD244" s="8"/>
      <c r="AE244" s="8"/>
      <c r="AF244" s="8"/>
      <c r="AG244" s="8"/>
      <c r="AH244" s="8"/>
      <c r="AI244" s="8"/>
      <c r="AJ244" s="8"/>
      <c r="AK244" s="8"/>
      <c r="AL244" s="8"/>
      <c r="AM244" s="8"/>
      <c r="AN244" s="8"/>
      <c r="AO244" s="8"/>
      <c r="AP244" s="8"/>
      <c r="AQ244" s="8"/>
      <c r="AR244" s="8"/>
      <c r="AS244" s="8"/>
      <c r="AT244" s="8"/>
      <c r="AU244" s="8"/>
      <c r="AV244" s="8"/>
      <c r="AW244" s="8"/>
      <c r="AX244" s="8"/>
      <c r="AY244" s="8"/>
      <c r="AZ244" s="8"/>
      <c r="BA244" s="8"/>
      <c r="BB244" s="8"/>
      <c r="BC244" s="8"/>
      <c r="BD244" s="8"/>
      <c r="BE244" s="8"/>
      <c r="BF244" s="8"/>
      <c r="BG244" s="8"/>
      <c r="BH244" s="8"/>
      <c r="BI244" s="8"/>
      <c r="BJ244" s="8"/>
      <c r="BK244" s="8"/>
      <c r="BL244" s="8"/>
      <c r="BM244" s="8"/>
      <c r="BN244" s="8"/>
      <c r="BO244" s="8"/>
      <c r="BP244" s="8"/>
      <c r="BQ244" s="8"/>
      <c r="BR244" s="8"/>
      <c r="BS244" s="8"/>
      <c r="BT244" s="8"/>
      <c r="BU244" s="8"/>
      <c r="BV244" s="8"/>
      <c r="BW244" s="8"/>
      <c r="BX244" s="8"/>
      <c r="BY244" s="8"/>
      <c r="BZ244" s="8"/>
      <c r="CA244" s="8"/>
      <c r="CB244" s="8"/>
      <c r="CC244" s="8"/>
      <c r="CD244" s="8"/>
      <c r="CE244" s="8"/>
      <c r="CF244" s="8"/>
      <c r="CG244" s="8"/>
      <c r="CH244" s="8"/>
      <c r="CI244" s="8"/>
      <c r="CJ244" s="8"/>
      <c r="CK244" s="8"/>
      <c r="CL244" s="8"/>
      <c r="CM244" s="8"/>
      <c r="CN244" s="8"/>
      <c r="CO244" s="8"/>
      <c r="CP244" s="8"/>
      <c r="CQ244" s="8"/>
      <c r="CR244" s="8"/>
    </row>
    <row r="245" spans="1:96" x14ac:dyDescent="0.2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c r="AB245" s="8"/>
      <c r="AC245" s="8"/>
      <c r="AD245" s="8"/>
      <c r="AE245" s="8"/>
      <c r="AF245" s="8"/>
      <c r="AG245" s="8"/>
      <c r="AH245" s="8"/>
      <c r="AI245" s="8"/>
      <c r="AJ245" s="8"/>
      <c r="AK245" s="8"/>
      <c r="AL245" s="8"/>
      <c r="AM245" s="8"/>
      <c r="AN245" s="8"/>
      <c r="AO245" s="8"/>
      <c r="AP245" s="8"/>
      <c r="AQ245" s="8"/>
      <c r="AR245" s="8"/>
      <c r="AS245" s="8"/>
      <c r="AT245" s="8"/>
      <c r="AU245" s="8"/>
      <c r="AV245" s="8"/>
      <c r="AW245" s="8"/>
      <c r="AX245" s="8"/>
      <c r="AY245" s="8"/>
      <c r="AZ245" s="8"/>
      <c r="BA245" s="8"/>
      <c r="BB245" s="8"/>
      <c r="BC245" s="8"/>
      <c r="BD245" s="8"/>
      <c r="BE245" s="8"/>
      <c r="BF245" s="8"/>
      <c r="BG245" s="8"/>
      <c r="BH245" s="8"/>
      <c r="BI245" s="8"/>
      <c r="BJ245" s="8"/>
      <c r="BK245" s="8"/>
      <c r="BL245" s="8"/>
      <c r="BM245" s="8"/>
      <c r="BN245" s="8"/>
      <c r="BO245" s="8"/>
      <c r="BP245" s="8"/>
      <c r="BQ245" s="8"/>
      <c r="BR245" s="8"/>
      <c r="BS245" s="8"/>
      <c r="BT245" s="8"/>
      <c r="BU245" s="8"/>
      <c r="BV245" s="8"/>
      <c r="BW245" s="8"/>
      <c r="BX245" s="8"/>
      <c r="BY245" s="8"/>
      <c r="BZ245" s="8"/>
      <c r="CA245" s="8"/>
      <c r="CB245" s="8"/>
      <c r="CC245" s="8"/>
      <c r="CD245" s="8"/>
      <c r="CE245" s="8"/>
      <c r="CF245" s="8"/>
      <c r="CG245" s="8"/>
      <c r="CH245" s="8"/>
      <c r="CI245" s="8"/>
      <c r="CJ245" s="8"/>
      <c r="CK245" s="8"/>
      <c r="CL245" s="8"/>
      <c r="CM245" s="8"/>
      <c r="CN245" s="8"/>
      <c r="CO245" s="8"/>
      <c r="CP245" s="8"/>
      <c r="CQ245" s="8"/>
      <c r="CR245" s="8"/>
    </row>
    <row r="246" spans="1:96" x14ac:dyDescent="0.25">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8"/>
      <c r="AD246" s="8"/>
      <c r="AE246" s="8"/>
      <c r="AF246" s="8"/>
      <c r="AG246" s="8"/>
      <c r="AH246" s="8"/>
      <c r="AI246" s="8"/>
      <c r="AJ246" s="8"/>
      <c r="AK246" s="8"/>
      <c r="AL246" s="8"/>
      <c r="AM246" s="8"/>
      <c r="AN246" s="8"/>
      <c r="AO246" s="8"/>
      <c r="AP246" s="8"/>
      <c r="AQ246" s="8"/>
      <c r="AR246" s="8"/>
      <c r="AS246" s="8"/>
      <c r="AT246" s="8"/>
      <c r="AU246" s="8"/>
      <c r="AV246" s="8"/>
      <c r="AW246" s="8"/>
      <c r="AX246" s="8"/>
      <c r="AY246" s="8"/>
      <c r="AZ246" s="8"/>
      <c r="BA246" s="8"/>
      <c r="BB246" s="8"/>
      <c r="BC246" s="8"/>
      <c r="BD246" s="8"/>
      <c r="BE246" s="8"/>
      <c r="BF246" s="8"/>
      <c r="BG246" s="8"/>
      <c r="BH246" s="8"/>
      <c r="BI246" s="8"/>
      <c r="BJ246" s="8"/>
      <c r="BK246" s="8"/>
      <c r="BL246" s="8"/>
      <c r="BM246" s="8"/>
      <c r="BN246" s="8"/>
      <c r="BO246" s="8"/>
      <c r="BP246" s="8"/>
      <c r="BQ246" s="8"/>
      <c r="BR246" s="8"/>
      <c r="BS246" s="8"/>
      <c r="BT246" s="8"/>
      <c r="BU246" s="8"/>
      <c r="BV246" s="8"/>
      <c r="BW246" s="8"/>
      <c r="BX246" s="8"/>
      <c r="BY246" s="8"/>
      <c r="BZ246" s="8"/>
      <c r="CA246" s="8"/>
      <c r="CB246" s="8"/>
      <c r="CC246" s="8"/>
      <c r="CD246" s="8"/>
      <c r="CE246" s="8"/>
      <c r="CF246" s="8"/>
      <c r="CG246" s="8"/>
      <c r="CH246" s="8"/>
      <c r="CI246" s="8"/>
      <c r="CJ246" s="8"/>
      <c r="CK246" s="8"/>
      <c r="CL246" s="8"/>
      <c r="CM246" s="8"/>
      <c r="CN246" s="8"/>
      <c r="CO246" s="8"/>
      <c r="CP246" s="8"/>
      <c r="CQ246" s="8"/>
      <c r="CR246" s="8"/>
    </row>
    <row r="247" spans="1:96" x14ac:dyDescent="0.25">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c r="AI247" s="8"/>
      <c r="AJ247" s="8"/>
      <c r="AK247" s="8"/>
      <c r="AL247" s="8"/>
      <c r="AM247" s="8"/>
      <c r="AN247" s="8"/>
      <c r="AO247" s="8"/>
      <c r="AP247" s="8"/>
      <c r="AQ247" s="8"/>
      <c r="AR247" s="8"/>
      <c r="AS247" s="8"/>
      <c r="AT247" s="8"/>
      <c r="AU247" s="8"/>
      <c r="AV247" s="8"/>
      <c r="AW247" s="8"/>
      <c r="AX247" s="8"/>
      <c r="AY247" s="8"/>
      <c r="AZ247" s="8"/>
      <c r="BA247" s="8"/>
      <c r="BB247" s="8"/>
      <c r="BC247" s="8"/>
      <c r="BD247" s="8"/>
      <c r="BE247" s="8"/>
      <c r="BF247" s="8"/>
      <c r="BG247" s="8"/>
      <c r="BH247" s="8"/>
      <c r="BI247" s="8"/>
      <c r="BJ247" s="8"/>
      <c r="BK247" s="8"/>
      <c r="BL247" s="8"/>
      <c r="BM247" s="8"/>
      <c r="BN247" s="8"/>
      <c r="BO247" s="8"/>
      <c r="BP247" s="8"/>
      <c r="BQ247" s="8"/>
      <c r="BR247" s="8"/>
      <c r="BS247" s="8"/>
      <c r="BT247" s="8"/>
      <c r="BU247" s="8"/>
      <c r="BV247" s="8"/>
      <c r="BW247" s="8"/>
      <c r="BX247" s="8"/>
      <c r="BY247" s="8"/>
      <c r="BZ247" s="8"/>
      <c r="CA247" s="8"/>
      <c r="CB247" s="8"/>
      <c r="CC247" s="8"/>
      <c r="CD247" s="8"/>
      <c r="CE247" s="8"/>
      <c r="CF247" s="8"/>
      <c r="CG247" s="8"/>
      <c r="CH247" s="8"/>
      <c r="CI247" s="8"/>
      <c r="CJ247" s="8"/>
      <c r="CK247" s="8"/>
      <c r="CL247" s="8"/>
      <c r="CM247" s="8"/>
      <c r="CN247" s="8"/>
      <c r="CO247" s="8"/>
      <c r="CP247" s="8"/>
      <c r="CQ247" s="8"/>
      <c r="CR247" s="8"/>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Sheet1</vt:lpstr>
      <vt:lpstr>Sheet2</vt:lpstr>
      <vt:lpstr>Sheet3</vt:lpstr>
      <vt:lpstr>Sheet4</vt:lpstr>
      <vt:lpstr>Sheet6</vt:lpstr>
      <vt:lpstr>ecommerce_sales_data</vt:lpstr>
      <vt:lpstr>Sheet5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student</dc:creator>
  <cp:lastModifiedBy>MITS</cp:lastModifiedBy>
  <dcterms:created xsi:type="dcterms:W3CDTF">2026-06-06T04:17:24Z</dcterms:created>
  <dcterms:modified xsi:type="dcterms:W3CDTF">2026-06-06T11:29:31Z</dcterms:modified>
</cp:coreProperties>
</file>