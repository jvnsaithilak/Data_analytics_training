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13_ncr:1_{9E98F224-20B5-429A-A015-AE254CE1964B}" xr6:coauthVersionLast="47" xr6:coauthVersionMax="47" xr10:uidLastSave="{00000000-0000-0000-0000-000000000000}"/>
  <bookViews>
    <workbookView xWindow="-120" yWindow="-120" windowWidth="29040" windowHeight="15720" activeTab="2" xr2:uid="{9BACECEB-375B-42C4-A1A1-1837808C4DD3}"/>
  </bookViews>
  <sheets>
    <sheet name="Sheet5" sheetId="5" r:id="rId1"/>
    <sheet name="Sheet6" sheetId="6" r:id="rId2"/>
    <sheet name="Sheet1" sheetId="1" r:id="rId3"/>
  </sheets>
  <externalReferences>
    <externalReference r:id="rId4"/>
    <externalReference r:id="rId5"/>
  </externalReferences>
  <definedNames>
    <definedName name="_xlchart.v1.0" hidden="1">Sheet1!$I$2:$I$30</definedName>
    <definedName name="_xlchart.v1.1" hidden="1">Sheet1!$N$2:$N$30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MITS</author>
  </authors>
  <commentList>
    <comment ref="N2" authorId="0" shapeId="0" xr:uid="{3214924A-065F-4EDB-81C7-3F56F25A64FE}">
      <text>
        <r>
          <rPr>
            <b/>
            <sz val="9"/>
            <color indexed="81"/>
            <rFont val="Tahoma"/>
            <family val="2"/>
          </rPr>
          <t>MITS: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" authorId="0" shapeId="0" xr:uid="{A1DC31A4-2354-44FD-B6BF-86A5BA8A977A}">
      <text>
        <r>
          <rPr>
            <b/>
            <sz val="9"/>
            <color indexed="81"/>
            <rFont val="Tahoma"/>
            <family val="2"/>
          </rPr>
          <t>MITS: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<sst xmlns="http://schemas.openxmlformats.org/spreadsheetml/2006/main" count="477" uniqueCount="120">
  <si>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</si>
  <si>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</si>
  <si>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</si>
  <si>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</si>
  <si>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</si>
  <si>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</si>
  <si>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</si>
  <si>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</si>
  <si>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</si>
  <si>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</si>
  <si>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</si>
  <si>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</si>
  <si>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</si>
  <si>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</si>
  <si>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</si>
  <si>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</si>
  <si>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</si>
  <si>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</si>
  <si>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</si>
  <si>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</si>
  <si>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</si>
  <si>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Electronic check</t>
  </si>
  <si>
    <t>5575-GNVDE</t>
  </si>
  <si>
    <t>Male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</si>
  <si>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</si>
  <si>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</si>
  <si>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</si>
  <si>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</si>
  <si>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</si>
  <si>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</si>
  <si>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</si>
  <si>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</si>
  <si>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</si>
  <si>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</si>
  <si>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</si>
  <si>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</si>
  <si>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</si>
  <si>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</si>
  <si>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</si>
  <si>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</si>
  <si>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</si>
  <si>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</si>
  <si>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</si>
  <si>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</si>
  <si>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</si>
  <si>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</si>
  <si>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</si>
  <si>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</si>
  <si>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</si>
  <si>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</si>
  <si>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</si>
  <si>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</si>
  <si>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</si>
  <si>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</si>
  <si>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</si>
  <si>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</si>
  <si>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pincode</t>
  </si>
  <si>
    <t>values</t>
  </si>
  <si>
    <t>positive</t>
  </si>
  <si>
    <t>Negative</t>
  </si>
  <si>
    <t>Zeros</t>
  </si>
  <si>
    <t>Column 1</t>
  </si>
  <si>
    <t>Column 2</t>
  </si>
  <si>
    <t>Column1</t>
  </si>
  <si>
    <t>Column2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</si>
  <si>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</si>
  <si>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</si>
  <si>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</si>
  <si>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</si>
  <si>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</si>
  <si>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</si>
  <si>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</si>
  <si>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</si>
  <si>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</si>
  <si>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</si>
  <si>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</si>
  <si>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</si>
  <si>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</si>
  <si>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Bin</t>
  </si>
  <si>
    <t>Frequency</t>
  </si>
  <si>
    <t>More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</si>
  <si>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</si>
  <si>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</si>
  <si>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</si>
  <si>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</si>
  <si>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</si>
  <si>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</si>
  <si>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</si>
  <si>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</si>
  <si>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</si>
  <si>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</si>
  <si>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</si>
  <si>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</si>
  <si>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</si>
  <si>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</si>
  <si>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</si>
  <si>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</si>
  <si>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bina</t>
  </si>
  <si>
    <t>SUMMARY OUTPUT</t>
  </si>
  <si>
    <t>Regression Statistics</t>
  </si>
  <si>
    <t>Multiple R</t>
  </si>
  <si>
    <t>R Square</t>
  </si>
  <si>
    <t>Adjusted R Square</t>
  </si>
  <si>
    <t>Observations</t>
  </si>
  <si>
    <t>Regression</t>
  </si>
  <si>
    <t>Residual</t>
  </si>
  <si>
    <t>Intercept</t>
  </si>
  <si>
    <t>Significance F</t>
  </si>
  <si>
    <t>Coefficients</t>
  </si>
  <si>
    <t>t Stat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</si>
  <si>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</si>
  <si>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</si>
  <si>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</si>
  <si>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</si>
  <si>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</si>
  <si>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</si>
  <si>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</si>
  <si>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</si>
  <si>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</si>
  <si>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Standard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</si>
</sst>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₹&quot;\ #,##0.00"/>
    <numFmt numFmtId="165" formatCode="&quot;₹&quot;\ #,##0.0"/>
    <numFmt numFmtId="166" formatCode="[$INR]\ #,##0.0;[Red][$INR]\ \-#,##0.0"/>
    <numFmt numFmtId="167" formatCode="#,##0;\-#,##0;#,##0;"/>
    <numFmt numFmtId="168" formatCode="\-#,##0;"/>
    <numFmt numFmtId="169" formatCode="#,##0;"/>
    <numFmt numFmtId="170" formatCode=";;#,##0;"/>
  </numFmts>
  <fonts count="6" x14ac:knownFonts="1">
    <font>
      <sz val="11"/>
      <color theme="1"/>
      <name val="Calibri"/>
      <family val="2"/>
      <scheme val="minor"/>
    </font>
    <font>
      <b/>
      <sz val="11"/>
      <name val="Arial Blac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8CBAD"/>
        <b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0" fillId="3" borderId="1" xfId="0" applyFill="1" applyBorder="1" applyAlignment="1">
      <alignment readingOrder="1"/>
    </xf>
    <xf numFmtId="0" fontId="0" fillId="0" borderId="3" xfId="0" applyBorder="1"/>
    <xf numFmtId="0" fontId="0" fillId="3" borderId="2" xfId="0" applyFill="1" applyBorder="1" applyAlignment="1">
      <alignment readingOrder="1"/>
    </xf>
    <xf numFmtId="0" fontId="1" fillId="2" borderId="4" xfId="0" applyFont="1" applyFill="1" applyBorder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indent="6"/>
    </xf>
    <xf numFmtId="3" fontId="0" fillId="0" borderId="0" xfId="0" applyNumberFormat="1"/>
    <xf numFmtId="37" fontId="0" fillId="0" borderId="0" xfId="0" applyNumberFormat="1"/>
    <xf numFmtId="0" fontId="1" fillId="2" borderId="5" xfId="0" applyFont="1" applyFill="1" applyBorder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1" fillId="4" borderId="5" xfId="0" applyFont="1" applyFill="1" applyBorder="1"/>
    <xf numFmtId="0" fontId="1" fillId="4" borderId="6" xfId="0" applyFont="1" applyFill="1" applyBorder="1"/>
    <xf numFmtId="167" fontId="4" fillId="0" borderId="0" xfId="0" applyNumberFormat="1" applyFont="1"/>
    <xf numFmtId="169" fontId="4" fillId="0" borderId="0" xfId="0" applyNumberFormat="1" applyFont="1"/>
    <xf numFmtId="168" fontId="4" fillId="0" borderId="0" xfId="0" applyNumberFormat="1" applyFont="1"/>
    <xf numFmtId="170" fontId="4" fillId="0" borderId="0" xfId="0" applyNumberFormat="1" applyFont="1"/>
    <xf numFmtId="0" fontId="0" fillId="0" borderId="0" xfId="0" applyFill="1" applyBorder="1" applyAlignment="1"/>
    <xf numFmtId="0" fontId="0" fillId="0" borderId="7" xfId="0" applyFill="1" applyBorder="1" applyAlignment="1"/>
    <xf numFmtId="0" fontId="5" fillId="0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7" xfId="0" applyBorder="1"/>
    <xf numFmtId="0" fontId="5" fillId="0" borderId="8" xfId="0" applyFont="1" applyFill="1" applyBorder="1" applyAlignment="1">
      <alignment horizontal="centerContinuous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InternetService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DSL</c:v>
              </c:pt>
              <c:pt idx="1">
                <c:v>Fiber optic</c:v>
              </c:pt>
              <c:pt idx="2">
                <c:v>No</c:v>
              </c:pt>
            </c:strLit>
          </c:cat>
          <c:val>
            <c:numLit>
              <c:formatCode>General</c:formatCode>
              <c:ptCount val="3"/>
              <c:pt idx="0">
                <c:v>14</c:v>
              </c:pt>
              <c:pt idx="1">
                <c:v>11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0-9FE6-4AFC-89F6-8349D1F96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1319263"/>
        <c:axId val="1351315423"/>
      </c:barChart>
      <c:catAx>
        <c:axId val="135131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315423"/>
        <c:crosses val="autoZero"/>
        <c:auto val="1"/>
        <c:lblAlgn val="ctr"/>
        <c:lblOffset val="100"/>
        <c:noMultiLvlLbl val="0"/>
      </c:catAx>
      <c:valAx>
        <c:axId val="135131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319263"/>
        <c:crosses val="autoZero"/>
        <c:crossBetween val="between"/>
      </c:valAx>
      <c:spPr>
        <a:noFill/>
        <a:ln>
          <a:noFill/>
        </a:ln>
        <a:effectLst>
          <a:outerShdw blurRad="50800" dist="50800" dir="5400000" algn="ctr" rotWithShape="0">
            <a:srgbClr val="000000">
              <a:alpha val="66000"/>
            </a:srgbClr>
          </a:outerShdw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rgbClr val="000000">
          <a:alpha val="81000"/>
        </a:srgbClr>
      </a:outerShdw>
    </a:effectLst>
    <a:scene3d>
      <a:camera prst="orthographicFront"/>
      <a:lightRig rig="threePt" dir="t"/>
    </a:scene3d>
    <a:sp3d>
      <a:bevelT prst="relaxedInset"/>
      <a:bevelB prst="relaxedInse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0.14393518518518519"/>
          <c:w val="0.93888888888888888"/>
          <c:h val="0.36590004374453194"/>
        </c:manualLayout>
      </c:layout>
      <c:pie3D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853-4C1A-A693-4C4B9BBC26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853-4C1A-A693-4C4B9BBC26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853-4C1A-A693-4C4B9BBC26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6853-4C1A-A693-4C4B9BBC269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6853-4C1A-A693-4C4B9BBC269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6853-4C1A-A693-4C4B9BBC269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6853-4C1A-A693-4C4B9BBC269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6853-4C1A-A693-4C4B9BBC269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6853-4C1A-A693-4C4B9BBC269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6853-4C1A-A693-4C4B9BBC269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6853-4C1A-A693-4C4B9BBC269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6853-4C1A-A693-4C4B9BBC269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6853-4C1A-A693-4C4B9BBC269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6853-4C1A-A693-4C4B9BBC269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6853-4C1A-A693-4C4B9BBC269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6853-4C1A-A693-4C4B9BBC269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6853-4C1A-A693-4C4B9BBC269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6853-4C1A-A693-4C4B9BBC269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6853-4C1A-A693-4C4B9BBC269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6853-4C1A-A693-4C4B9BBC269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6853-4C1A-A693-4C4B9BBC269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6853-4C1A-A693-4C4B9BBC269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6853-4C1A-A693-4C4B9BBC269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6853-4C1A-A693-4C4B9BBC2693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1-6853-4C1A-A693-4C4B9BBC2693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3-6853-4C1A-A693-4C4B9BBC2693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5-6853-4C1A-A693-4C4B9BBC2693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7-6853-4C1A-A693-4C4B9BBC2693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9-6853-4C1A-A693-4C4B9BBC2693}"/>
              </c:ext>
            </c:extLst>
          </c:dPt>
          <c:cat>
            <c:strRef>
              <c:f>Sheet1!$I$3:$I$31</c:f>
              <c:strCache>
                <c:ptCount val="28"/>
                <c:pt idx="0">
                  <c:v>DSL</c:v>
                </c:pt>
                <c:pt idx="1">
                  <c:v>DSL</c:v>
                </c:pt>
                <c:pt idx="2">
                  <c:v>DSL</c:v>
                </c:pt>
                <c:pt idx="3">
                  <c:v>Fiber optic</c:v>
                </c:pt>
                <c:pt idx="4">
                  <c:v>Fiber optic</c:v>
                </c:pt>
                <c:pt idx="5">
                  <c:v>Fiber optic</c:v>
                </c:pt>
                <c:pt idx="6">
                  <c:v>DSL</c:v>
                </c:pt>
                <c:pt idx="7">
                  <c:v>Fiber optic</c:v>
                </c:pt>
                <c:pt idx="8">
                  <c:v>DSL</c:v>
                </c:pt>
                <c:pt idx="9">
                  <c:v>DSL</c:v>
                </c:pt>
                <c:pt idx="10">
                  <c:v>No</c:v>
                </c:pt>
                <c:pt idx="11">
                  <c:v>Fiber optic</c:v>
                </c:pt>
                <c:pt idx="12">
                  <c:v>Fiber optic</c:v>
                </c:pt>
                <c:pt idx="13">
                  <c:v>Fiber optic</c:v>
                </c:pt>
                <c:pt idx="14">
                  <c:v>Fiber optic</c:v>
                </c:pt>
                <c:pt idx="15">
                  <c:v>No</c:v>
                </c:pt>
                <c:pt idx="16">
                  <c:v>Fiber optic</c:v>
                </c:pt>
                <c:pt idx="17">
                  <c:v>DSL</c:v>
                </c:pt>
                <c:pt idx="18">
                  <c:v>Fiber optic</c:v>
                </c:pt>
                <c:pt idx="19">
                  <c:v>DSL</c:v>
                </c:pt>
                <c:pt idx="20">
                  <c:v>No</c:v>
                </c:pt>
                <c:pt idx="21">
                  <c:v>No</c:v>
                </c:pt>
                <c:pt idx="22">
                  <c:v>DSL</c:v>
                </c:pt>
                <c:pt idx="23">
                  <c:v>DSL</c:v>
                </c:pt>
                <c:pt idx="24">
                  <c:v>DSL</c:v>
                </c:pt>
                <c:pt idx="25">
                  <c:v>Fiber optic</c:v>
                </c:pt>
                <c:pt idx="26">
                  <c:v>DSL</c:v>
                </c:pt>
                <c:pt idx="27">
                  <c:v>DSL</c:v>
                </c:pt>
              </c:strCache>
            </c:strRef>
          </c:cat>
          <c:val>
            <c:numRef>
              <c:f>Sheet1!$N$3:$N$31</c:f>
              <c:numCache>
                <c:formatCode>"₹"\ #,##0.0</c:formatCode>
                <c:ptCount val="29"/>
                <c:pt idx="0">
                  <c:v>1889.5</c:v>
                </c:pt>
                <c:pt idx="1">
                  <c:v>108.15</c:v>
                </c:pt>
                <c:pt idx="2">
                  <c:v>1840.75</c:v>
                </c:pt>
                <c:pt idx="3">
                  <c:v>151.65</c:v>
                </c:pt>
                <c:pt idx="4">
                  <c:v>820.5</c:v>
                </c:pt>
                <c:pt idx="5">
                  <c:v>1949.4</c:v>
                </c:pt>
                <c:pt idx="6">
                  <c:v>301.89999999999998</c:v>
                </c:pt>
                <c:pt idx="7">
                  <c:v>3046.05</c:v>
                </c:pt>
                <c:pt idx="8">
                  <c:v>3487.95</c:v>
                </c:pt>
                <c:pt idx="9">
                  <c:v>587.45000000000005</c:v>
                </c:pt>
                <c:pt idx="10">
                  <c:v>326.8</c:v>
                </c:pt>
                <c:pt idx="11">
                  <c:v>5681.1</c:v>
                </c:pt>
                <c:pt idx="12">
                  <c:v>5036.3</c:v>
                </c:pt>
                <c:pt idx="13">
                  <c:v>2686.05</c:v>
                </c:pt>
                <c:pt idx="14">
                  <c:v>7895.15</c:v>
                </c:pt>
                <c:pt idx="15">
                  <c:v>1022.95</c:v>
                </c:pt>
                <c:pt idx="16">
                  <c:v>7382.25</c:v>
                </c:pt>
                <c:pt idx="17">
                  <c:v>528.35</c:v>
                </c:pt>
                <c:pt idx="18">
                  <c:v>1862.9</c:v>
                </c:pt>
                <c:pt idx="19">
                  <c:v>39.65</c:v>
                </c:pt>
                <c:pt idx="20">
                  <c:v>202.25</c:v>
                </c:pt>
                <c:pt idx="21">
                  <c:v>20.149999999999999</c:v>
                </c:pt>
                <c:pt idx="22">
                  <c:v>3505.1</c:v>
                </c:pt>
                <c:pt idx="23">
                  <c:v>2970.3</c:v>
                </c:pt>
                <c:pt idx="24">
                  <c:v>1530.6</c:v>
                </c:pt>
                <c:pt idx="25">
                  <c:v>4749.1499999999996</c:v>
                </c:pt>
                <c:pt idx="26">
                  <c:v>30.2</c:v>
                </c:pt>
                <c:pt idx="27">
                  <c:v>6369.45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BE51-461A-9483-4C4047A2E87C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E51-461A-9483-4C4047A2E8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E51-461A-9483-4C4047A2E8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BE51-461A-9483-4C4047A2E8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BE51-461A-9483-4C4047A2E8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BE51-461A-9483-4C4047A2E87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BE51-461A-9483-4C4047A2E87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BE51-461A-9483-4C4047A2E87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BE51-461A-9483-4C4047A2E87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BE51-461A-9483-4C4047A2E87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BE51-461A-9483-4C4047A2E87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BE51-461A-9483-4C4047A2E87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BE51-461A-9483-4C4047A2E87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BE51-461A-9483-4C4047A2E87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BE51-461A-9483-4C4047A2E87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BE51-461A-9483-4C4047A2E87C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BE51-461A-9483-4C4047A2E87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BE51-461A-9483-4C4047A2E87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BE51-461A-9483-4C4047A2E87C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BE51-461A-9483-4C4047A2E87C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BE51-461A-9483-4C4047A2E87C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BE51-461A-9483-4C4047A2E87C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BE51-461A-9483-4C4047A2E87C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BE51-461A-9483-4C4047A2E87C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1-BE51-461A-9483-4C4047A2E87C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3-BE51-461A-9483-4C4047A2E87C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5-BE51-461A-9483-4C4047A2E87C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7-BE51-461A-9483-4C4047A2E87C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9-BE51-461A-9483-4C4047A2E87C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B-BE51-461A-9483-4C4047A2E87C}"/>
              </c:ext>
            </c:extLst>
          </c:dPt>
          <c:cat>
            <c:strRef>
              <c:f>Sheet1!$I$3:$I$31</c:f>
              <c:strCache>
                <c:ptCount val="28"/>
                <c:pt idx="0">
                  <c:v>DSL</c:v>
                </c:pt>
                <c:pt idx="1">
                  <c:v>DSL</c:v>
                </c:pt>
                <c:pt idx="2">
                  <c:v>DSL</c:v>
                </c:pt>
                <c:pt idx="3">
                  <c:v>Fiber optic</c:v>
                </c:pt>
                <c:pt idx="4">
                  <c:v>Fiber optic</c:v>
                </c:pt>
                <c:pt idx="5">
                  <c:v>Fiber optic</c:v>
                </c:pt>
                <c:pt idx="6">
                  <c:v>DSL</c:v>
                </c:pt>
                <c:pt idx="7">
                  <c:v>Fiber optic</c:v>
                </c:pt>
                <c:pt idx="8">
                  <c:v>DSL</c:v>
                </c:pt>
                <c:pt idx="9">
                  <c:v>DSL</c:v>
                </c:pt>
                <c:pt idx="10">
                  <c:v>No</c:v>
                </c:pt>
                <c:pt idx="11">
                  <c:v>Fiber optic</c:v>
                </c:pt>
                <c:pt idx="12">
                  <c:v>Fiber optic</c:v>
                </c:pt>
                <c:pt idx="13">
                  <c:v>Fiber optic</c:v>
                </c:pt>
                <c:pt idx="14">
                  <c:v>Fiber optic</c:v>
                </c:pt>
                <c:pt idx="15">
                  <c:v>No</c:v>
                </c:pt>
                <c:pt idx="16">
                  <c:v>Fiber optic</c:v>
                </c:pt>
                <c:pt idx="17">
                  <c:v>DSL</c:v>
                </c:pt>
                <c:pt idx="18">
                  <c:v>Fiber optic</c:v>
                </c:pt>
                <c:pt idx="19">
                  <c:v>DSL</c:v>
                </c:pt>
                <c:pt idx="20">
                  <c:v>No</c:v>
                </c:pt>
                <c:pt idx="21">
                  <c:v>No</c:v>
                </c:pt>
                <c:pt idx="22">
                  <c:v>DSL</c:v>
                </c:pt>
                <c:pt idx="23">
                  <c:v>DSL</c:v>
                </c:pt>
                <c:pt idx="24">
                  <c:v>DSL</c:v>
                </c:pt>
                <c:pt idx="25">
                  <c:v>Fiber optic</c:v>
                </c:pt>
                <c:pt idx="26">
                  <c:v>DSL</c:v>
                </c:pt>
                <c:pt idx="27">
                  <c:v>DSL</c:v>
                </c:pt>
              </c:strCache>
            </c:strRef>
          </c:cat>
          <c:val>
            <c:numRef>
              <c:f>Sheet1!$N$3:$N$31</c:f>
              <c:numCache>
                <c:formatCode>"₹"\ #,##0.0</c:formatCode>
                <c:ptCount val="29"/>
                <c:pt idx="0">
                  <c:v>1889.5</c:v>
                </c:pt>
                <c:pt idx="1">
                  <c:v>108.15</c:v>
                </c:pt>
                <c:pt idx="2">
                  <c:v>1840.75</c:v>
                </c:pt>
                <c:pt idx="3">
                  <c:v>151.65</c:v>
                </c:pt>
                <c:pt idx="4">
                  <c:v>820.5</c:v>
                </c:pt>
                <c:pt idx="5">
                  <c:v>1949.4</c:v>
                </c:pt>
                <c:pt idx="6">
                  <c:v>301.89999999999998</c:v>
                </c:pt>
                <c:pt idx="7">
                  <c:v>3046.05</c:v>
                </c:pt>
                <c:pt idx="8">
                  <c:v>3487.95</c:v>
                </c:pt>
                <c:pt idx="9">
                  <c:v>587.45000000000005</c:v>
                </c:pt>
                <c:pt idx="10">
                  <c:v>326.8</c:v>
                </c:pt>
                <c:pt idx="11">
                  <c:v>5681.1</c:v>
                </c:pt>
                <c:pt idx="12">
                  <c:v>5036.3</c:v>
                </c:pt>
                <c:pt idx="13">
                  <c:v>2686.05</c:v>
                </c:pt>
                <c:pt idx="14">
                  <c:v>7895.15</c:v>
                </c:pt>
                <c:pt idx="15">
                  <c:v>1022.95</c:v>
                </c:pt>
                <c:pt idx="16">
                  <c:v>7382.25</c:v>
                </c:pt>
                <c:pt idx="17">
                  <c:v>528.35</c:v>
                </c:pt>
                <c:pt idx="18">
                  <c:v>1862.9</c:v>
                </c:pt>
                <c:pt idx="19">
                  <c:v>39.65</c:v>
                </c:pt>
                <c:pt idx="20">
                  <c:v>202.25</c:v>
                </c:pt>
                <c:pt idx="21">
                  <c:v>20.149999999999999</c:v>
                </c:pt>
                <c:pt idx="22">
                  <c:v>3505.1</c:v>
                </c:pt>
                <c:pt idx="23">
                  <c:v>2970.3</c:v>
                </c:pt>
                <c:pt idx="24">
                  <c:v>1530.6</c:v>
                </c:pt>
                <c:pt idx="25">
                  <c:v>4749.1499999999996</c:v>
                </c:pt>
                <c:pt idx="26">
                  <c:v>30.2</c:v>
                </c:pt>
                <c:pt idx="27">
                  <c:v>6369.45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BE51-461A-9483-4C4047A2E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324496937882767"/>
          <c:y val="0.55607356372120154"/>
          <c:w val="0.88008836395450563"/>
          <c:h val="0.4062554680664917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outerShdw blurRad="393700" dir="4740000" algn="ctr" rotWithShape="0">
        <a:srgbClr val="000000"/>
      </a:outerShdw>
    </a:effectLst>
    <a:scene3d>
      <a:camera prst="orthographicFront"/>
      <a:lightRig rig="threePt" dir="t"/>
    </a:scene3d>
    <a:sp3d>
      <a:bevelT w="152400" h="50800" prst="softRound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24759405074368"/>
          <c:y val="0.16245370370370371"/>
          <c:w val="0.82088429571303589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Sheet1!$N$1:$N$29</c:f>
              <c:strCache>
                <c:ptCount val="29"/>
                <c:pt idx="0">
                  <c:v>TotalCharges</c:v>
                </c:pt>
                <c:pt idx="1">
                  <c:v>₹ 29.9</c:v>
                </c:pt>
                <c:pt idx="2">
                  <c:v>₹ 1,889.5</c:v>
                </c:pt>
                <c:pt idx="3">
                  <c:v>₹ 108.2</c:v>
                </c:pt>
                <c:pt idx="4">
                  <c:v>₹ 1,840.8</c:v>
                </c:pt>
                <c:pt idx="5">
                  <c:v>₹ 151.7</c:v>
                </c:pt>
                <c:pt idx="6">
                  <c:v>₹ 820.5</c:v>
                </c:pt>
                <c:pt idx="7">
                  <c:v>₹ 1,949.4</c:v>
                </c:pt>
                <c:pt idx="8">
                  <c:v>₹ 301.9</c:v>
                </c:pt>
                <c:pt idx="9">
                  <c:v>₹ 3,046.1</c:v>
                </c:pt>
                <c:pt idx="10">
                  <c:v>₹ 3,488.0</c:v>
                </c:pt>
                <c:pt idx="11">
                  <c:v>₹ 587.5</c:v>
                </c:pt>
                <c:pt idx="12">
                  <c:v>₹ 326.8</c:v>
                </c:pt>
                <c:pt idx="13">
                  <c:v>₹ 5,681.1</c:v>
                </c:pt>
                <c:pt idx="14">
                  <c:v>₹ 5,036.3</c:v>
                </c:pt>
                <c:pt idx="15">
                  <c:v>₹ 2,686.1</c:v>
                </c:pt>
                <c:pt idx="16">
                  <c:v>₹ 7,895.2</c:v>
                </c:pt>
                <c:pt idx="17">
                  <c:v>₹ 1,023.0</c:v>
                </c:pt>
                <c:pt idx="18">
                  <c:v>₹ 7,382.3</c:v>
                </c:pt>
                <c:pt idx="19">
                  <c:v>₹ 528.4</c:v>
                </c:pt>
                <c:pt idx="20">
                  <c:v>₹ 1,862.9</c:v>
                </c:pt>
                <c:pt idx="21">
                  <c:v>₹ 39.7</c:v>
                </c:pt>
                <c:pt idx="22">
                  <c:v>₹ 202.3</c:v>
                </c:pt>
                <c:pt idx="23">
                  <c:v>₹ 20.2</c:v>
                </c:pt>
                <c:pt idx="24">
                  <c:v>₹ 3,505.1</c:v>
                </c:pt>
                <c:pt idx="25">
                  <c:v>₹ 2,970.3</c:v>
                </c:pt>
                <c:pt idx="26">
                  <c:v>₹ 1,530.6</c:v>
                </c:pt>
                <c:pt idx="27">
                  <c:v>₹ 4,749.2</c:v>
                </c:pt>
                <c:pt idx="28">
                  <c:v>₹ 30.2</c:v>
                </c:pt>
              </c:strCache>
            </c:strRef>
          </c:xVal>
          <c:yVal>
            <c:numRef>
              <c:f>Sheet1!$P$1:$P$29</c:f>
              <c:numCache>
                <c:formatCode>General</c:formatCode>
                <c:ptCount val="29"/>
                <c:pt idx="0">
                  <c:v>0</c:v>
                </c:pt>
                <c:pt idx="1">
                  <c:v>568889</c:v>
                </c:pt>
                <c:pt idx="2">
                  <c:v>528570</c:v>
                </c:pt>
                <c:pt idx="3">
                  <c:v>542485</c:v>
                </c:pt>
                <c:pt idx="4">
                  <c:v>587693</c:v>
                </c:pt>
                <c:pt idx="5">
                  <c:v>534143</c:v>
                </c:pt>
                <c:pt idx="6">
                  <c:v>575339</c:v>
                </c:pt>
                <c:pt idx="7">
                  <c:v>525835</c:v>
                </c:pt>
                <c:pt idx="8">
                  <c:v>539920</c:v>
                </c:pt>
                <c:pt idx="9">
                  <c:v>516361</c:v>
                </c:pt>
                <c:pt idx="10">
                  <c:v>598341</c:v>
                </c:pt>
                <c:pt idx="11">
                  <c:v>524749</c:v>
                </c:pt>
                <c:pt idx="12">
                  <c:v>530291</c:v>
                </c:pt>
                <c:pt idx="13">
                  <c:v>515539</c:v>
                </c:pt>
                <c:pt idx="14">
                  <c:v>506837</c:v>
                </c:pt>
                <c:pt idx="15">
                  <c:v>568312</c:v>
                </c:pt>
                <c:pt idx="16">
                  <c:v>529702</c:v>
                </c:pt>
                <c:pt idx="17">
                  <c:v>500720</c:v>
                </c:pt>
                <c:pt idx="18">
                  <c:v>554194</c:v>
                </c:pt>
                <c:pt idx="19">
                  <c:v>509430</c:v>
                </c:pt>
                <c:pt idx="20">
                  <c:v>543981</c:v>
                </c:pt>
                <c:pt idx="21">
                  <c:v>545125</c:v>
                </c:pt>
                <c:pt idx="22">
                  <c:v>538621</c:v>
                </c:pt>
                <c:pt idx="23">
                  <c:v>515503</c:v>
                </c:pt>
                <c:pt idx="24">
                  <c:v>525936</c:v>
                </c:pt>
                <c:pt idx="25">
                  <c:v>553223</c:v>
                </c:pt>
                <c:pt idx="26">
                  <c:v>552509</c:v>
                </c:pt>
                <c:pt idx="27">
                  <c:v>522056</c:v>
                </c:pt>
                <c:pt idx="28">
                  <c:v>539927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4B-4146-98CB-8EDE98732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352863"/>
        <c:axId val="1351350463"/>
      </c:scatterChart>
      <c:valAx>
        <c:axId val="135135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350463"/>
        <c:crosses val="autoZero"/>
        <c:crossBetween val="midCat"/>
      </c:valAx>
      <c:valAx>
        <c:axId val="135135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352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>
      <a:outerShdw blurRad="215900" dist="50800" dir="5400000" algn="ctr" rotWithShape="0">
        <a:srgbClr val="000000">
          <a:alpha val="68000"/>
        </a:srgbClr>
      </a:outerShdw>
    </a:effectLst>
    <a:scene3d>
      <a:camera prst="orthographicFront"/>
      <a:lightRig rig="chilly" dir="t"/>
    </a:scene3d>
    <a:sp3d prstMaterial="dkEdge">
      <a:bevelT w="139700" h="139700" prst="divot"/>
      <a:bevelB w="139700" h="139700" prst="divo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Electronic check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Sheet1!$M$2</c:f>
              <c:numCache>
                <c:formatCode>[$INR]\ #,##0.0;[Red][$INR]\ \-#,##0.0</c:formatCode>
                <c:ptCount val="1"/>
                <c:pt idx="0">
                  <c:v>29.85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0-4395-8ADE-005EA3C4FF52}"/>
            </c:ext>
          </c:extLst>
        </c:ser>
        <c:ser>
          <c:idx val="1"/>
          <c:order val="1"/>
          <c:tx>
            <c:strRef>
              <c:f>Sheet1!$L$3</c:f>
              <c:strCache>
                <c:ptCount val="1"/>
                <c:pt idx="0">
                  <c:v>Mailed check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Sheet1!$M$3</c:f>
              <c:numCache>
                <c:formatCode>[$INR]\ #,##0.0;[Red][$INR]\ \-#,##0.0</c:formatCode>
                <c:ptCount val="1"/>
                <c:pt idx="0">
                  <c:v>56.95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B0-4395-8ADE-005EA3C4FF52}"/>
            </c:ext>
          </c:extLst>
        </c:ser>
        <c:ser>
          <c:idx val="2"/>
          <c:order val="2"/>
          <c:tx>
            <c:strRef>
              <c:f>Sheet1!$L$4</c:f>
              <c:strCache>
                <c:ptCount val="1"/>
                <c:pt idx="0">
                  <c:v>Mailed check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Sheet1!$M$4</c:f>
              <c:numCache>
                <c:formatCode>[$INR]\ #,##0.0;[Red][$INR]\ \-#,##0.0</c:formatCode>
                <c:ptCount val="1"/>
                <c:pt idx="0">
                  <c:v>53.85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B0-4395-8ADE-005EA3C4FF52}"/>
            </c:ext>
          </c:extLst>
        </c:ser>
        <c:ser>
          <c:idx val="3"/>
          <c:order val="3"/>
          <c:tx>
            <c:strRef>
              <c:f>Sheet1!$L$5</c:f>
              <c:strCache>
                <c:ptCount val="1"/>
                <c:pt idx="0">
                  <c:v>Bank transfer (automatic)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Sheet1!$M$5</c:f>
              <c:numCache>
                <c:formatCode>[$INR]\ #,##0.0;[Red][$INR]\ \-#,##0.0</c:formatCode>
                <c:ptCount val="1"/>
                <c:pt idx="0">
                  <c:v>42.3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B0-4395-8ADE-005EA3C4FF52}"/>
            </c:ext>
          </c:extLst>
        </c:ser>
        <c:ser>
          <c:idx val="4"/>
          <c:order val="4"/>
          <c:tx>
            <c:strRef>
              <c:f>Sheet1!$L$6</c:f>
              <c:strCache>
                <c:ptCount val="1"/>
                <c:pt idx="0">
                  <c:v>Electronic check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Sheet1!$M$6</c:f>
              <c:numCache>
                <c:formatCode>[$INR]\ #,##0.0;[Red][$INR]\ \-#,##0.0</c:formatCode>
                <c:ptCount val="1"/>
                <c:pt idx="0">
                  <c:v>70.7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B0-4395-8ADE-005EA3C4FF52}"/>
            </c:ext>
          </c:extLst>
        </c:ser>
        <c:ser>
          <c:idx val="5"/>
          <c:order val="5"/>
          <c:tx>
            <c:strRef>
              <c:f>Sheet1!$L$7</c:f>
              <c:strCache>
                <c:ptCount val="1"/>
                <c:pt idx="0">
                  <c:v>Electronic check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Sheet1!$M$7</c:f>
              <c:numCache>
                <c:formatCode>[$INR]\ #,##0.0;[Red][$INR]\ \-#,##0.0</c:formatCode>
                <c:ptCount val="1"/>
                <c:pt idx="0">
                  <c:v>99.65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B0-4395-8ADE-005EA3C4FF52}"/>
            </c:ext>
          </c:extLst>
        </c:ser>
        <c:ser>
          <c:idx val="6"/>
          <c:order val="6"/>
          <c:tx>
            <c:strRef>
              <c:f>Sheet1!$L$8</c:f>
              <c:strCache>
                <c:ptCount val="1"/>
                <c:pt idx="0">
                  <c:v>Credit card (automatic)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Sheet1!$M$8</c:f>
              <c:numCache>
                <c:formatCode>[$INR]\ #,##0.0;[Red][$INR]\ \-#,##0.0</c:formatCode>
                <c:ptCount val="1"/>
                <c:pt idx="0">
                  <c:v>89.1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B0-4395-8ADE-005EA3C4FF52}"/>
            </c:ext>
          </c:extLst>
        </c:ser>
        <c:ser>
          <c:idx val="7"/>
          <c:order val="7"/>
          <c:tx>
            <c:strRef>
              <c:f>Sheet1!$L$9</c:f>
              <c:strCache>
                <c:ptCount val="1"/>
                <c:pt idx="0">
                  <c:v>Mailed check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Sheet1!$M$9</c:f>
              <c:numCache>
                <c:formatCode>[$INR]\ #,##0.0;[Red][$INR]\ \-#,##0.0</c:formatCode>
                <c:ptCount val="1"/>
                <c:pt idx="0">
                  <c:v>29.75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B0-4395-8ADE-005EA3C4FF52}"/>
            </c:ext>
          </c:extLst>
        </c:ser>
        <c:ser>
          <c:idx val="8"/>
          <c:order val="8"/>
          <c:tx>
            <c:strRef>
              <c:f>Sheet1!$L$10</c:f>
              <c:strCache>
                <c:ptCount val="1"/>
                <c:pt idx="0">
                  <c:v>Electronic check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Sheet1!$M$10</c:f>
              <c:numCache>
                <c:formatCode>[$INR]\ #,##0.0;[Red][$INR]\ \-#,##0.0</c:formatCode>
                <c:ptCount val="1"/>
                <c:pt idx="0">
                  <c:v>104.8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B0-4395-8ADE-005EA3C4FF52}"/>
            </c:ext>
          </c:extLst>
        </c:ser>
        <c:ser>
          <c:idx val="9"/>
          <c:order val="9"/>
          <c:tx>
            <c:strRef>
              <c:f>Sheet1!$L$11</c:f>
              <c:strCache>
                <c:ptCount val="1"/>
                <c:pt idx="0">
                  <c:v>Bank transfer (automatic)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Sheet1!$M$11</c:f>
              <c:numCache>
                <c:formatCode>[$INR]\ #,##0.0;[Red][$INR]\ \-#,##0.0</c:formatCode>
                <c:ptCount val="1"/>
                <c:pt idx="0">
                  <c:v>56.15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FB0-4395-8ADE-005EA3C4FF52}"/>
            </c:ext>
          </c:extLst>
        </c:ser>
        <c:ser>
          <c:idx val="10"/>
          <c:order val="10"/>
          <c:tx>
            <c:strRef>
              <c:f>Sheet1!$L$12</c:f>
              <c:strCache>
                <c:ptCount val="1"/>
                <c:pt idx="0">
                  <c:v>Mailed check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Sheet1!$M$12</c:f>
              <c:numCache>
                <c:formatCode>[$INR]\ #,##0.0;[Red][$INR]\ \-#,##0.0</c:formatCode>
                <c:ptCount val="1"/>
                <c:pt idx="0">
                  <c:v>49.95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FB0-4395-8ADE-005EA3C4FF52}"/>
            </c:ext>
          </c:extLst>
        </c:ser>
        <c:ser>
          <c:idx val="11"/>
          <c:order val="11"/>
          <c:tx>
            <c:strRef>
              <c:f>Sheet1!$L$13</c:f>
              <c:strCache>
                <c:ptCount val="1"/>
                <c:pt idx="0">
                  <c:v>Credit card (automatic)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Sheet1!$M$13</c:f>
              <c:numCache>
                <c:formatCode>[$INR]\ #,##0.0;[Red][$INR]\ \-#,##0.0</c:formatCode>
                <c:ptCount val="1"/>
                <c:pt idx="0">
                  <c:v>18.95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FB0-4395-8ADE-005EA3C4FF52}"/>
            </c:ext>
          </c:extLst>
        </c:ser>
        <c:ser>
          <c:idx val="12"/>
          <c:order val="12"/>
          <c:tx>
            <c:strRef>
              <c:f>Sheet1!$L$14</c:f>
              <c:strCache>
                <c:ptCount val="1"/>
                <c:pt idx="0">
                  <c:v>Credit card (automatic)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Sheet1!$M$14</c:f>
              <c:numCache>
                <c:formatCode>[$INR]\ #,##0.0;[Red][$INR]\ \-#,##0.0</c:formatCode>
                <c:ptCount val="1"/>
                <c:pt idx="0">
                  <c:v>100.35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FB0-4395-8ADE-005EA3C4FF52}"/>
            </c:ext>
          </c:extLst>
        </c:ser>
        <c:ser>
          <c:idx val="13"/>
          <c:order val="13"/>
          <c:tx>
            <c:strRef>
              <c:f>Sheet1!$L$15</c:f>
              <c:strCache>
                <c:ptCount val="1"/>
                <c:pt idx="0">
                  <c:v>Bank transfer (automatic)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Sheet1!$M$15</c:f>
              <c:numCache>
                <c:formatCode>[$INR]\ #,##0.0;[Red][$INR]\ \-#,##0.0</c:formatCode>
                <c:ptCount val="1"/>
                <c:pt idx="0">
                  <c:v>103.7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FB0-4395-8ADE-005EA3C4FF52}"/>
            </c:ext>
          </c:extLst>
        </c:ser>
        <c:ser>
          <c:idx val="14"/>
          <c:order val="14"/>
          <c:tx>
            <c:strRef>
              <c:f>Sheet1!$L$16</c:f>
              <c:strCache>
                <c:ptCount val="1"/>
                <c:pt idx="0">
                  <c:v>Electronic check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Sheet1!$M$16</c:f>
              <c:numCache>
                <c:formatCode>[$INR]\ #,##0.0;[Red][$INR]\ \-#,##0.0</c:formatCode>
                <c:ptCount val="1"/>
                <c:pt idx="0">
                  <c:v>105.5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FB0-4395-8ADE-005EA3C4FF52}"/>
            </c:ext>
          </c:extLst>
        </c:ser>
        <c:ser>
          <c:idx val="15"/>
          <c:order val="15"/>
          <c:tx>
            <c:strRef>
              <c:f>Sheet1!$L$17</c:f>
              <c:strCache>
                <c:ptCount val="1"/>
                <c:pt idx="0">
                  <c:v>Credit card (automatic)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Sheet1!$M$17</c:f>
              <c:numCache>
                <c:formatCode>[$INR]\ #,##0.0;[Red][$INR]\ \-#,##0.0</c:formatCode>
                <c:ptCount val="1"/>
                <c:pt idx="0">
                  <c:v>113.25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FB0-4395-8ADE-005EA3C4FF52}"/>
            </c:ext>
          </c:extLst>
        </c:ser>
        <c:ser>
          <c:idx val="16"/>
          <c:order val="16"/>
          <c:tx>
            <c:strRef>
              <c:f>Sheet1!$L$18</c:f>
              <c:strCache>
                <c:ptCount val="1"/>
                <c:pt idx="0">
                  <c:v>Mailed check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Sheet1!$M$18</c:f>
              <c:numCache>
                <c:formatCode>[$INR]\ #,##0.0;[Red][$INR]\ \-#,##0.0</c:formatCode>
                <c:ptCount val="1"/>
                <c:pt idx="0">
                  <c:v>20.65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FB0-4395-8ADE-005EA3C4FF52}"/>
            </c:ext>
          </c:extLst>
        </c:ser>
        <c:ser>
          <c:idx val="17"/>
          <c:order val="17"/>
          <c:tx>
            <c:strRef>
              <c:f>Sheet1!$L$19</c:f>
              <c:strCache>
                <c:ptCount val="1"/>
                <c:pt idx="0">
                  <c:v>Bank transfer (automatic)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Sheet1!$M$19</c:f>
              <c:numCache>
                <c:formatCode>[$INR]\ #,##0.0;[Red][$INR]\ \-#,##0.0</c:formatCode>
                <c:ptCount val="1"/>
                <c:pt idx="0">
                  <c:v>106.7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FB0-4395-8ADE-005EA3C4FF52}"/>
            </c:ext>
          </c:extLst>
        </c:ser>
        <c:ser>
          <c:idx val="18"/>
          <c:order val="18"/>
          <c:tx>
            <c:strRef>
              <c:f>Sheet1!$L$20</c:f>
              <c:strCache>
                <c:ptCount val="1"/>
                <c:pt idx="0">
                  <c:v>Credit card (automatic)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Sheet1!$M$20</c:f>
              <c:numCache>
                <c:formatCode>[$INR]\ #,##0.0;[Red][$INR]\ \-#,##0.0</c:formatCode>
                <c:ptCount val="1"/>
                <c:pt idx="0">
                  <c:v>55.2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FB0-4395-8ADE-005EA3C4FF52}"/>
            </c:ext>
          </c:extLst>
        </c:ser>
        <c:ser>
          <c:idx val="19"/>
          <c:order val="19"/>
          <c:tx>
            <c:strRef>
              <c:f>Sheet1!$L$21</c:f>
              <c:strCache>
                <c:ptCount val="1"/>
                <c:pt idx="0">
                  <c:v>Electronic check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Sheet1!$M$21</c:f>
              <c:numCache>
                <c:formatCode>[$INR]\ #,##0.0;[Red][$INR]\ \-#,##0.0</c:formatCode>
                <c:ptCount val="1"/>
                <c:pt idx="0">
                  <c:v>90.05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FB0-4395-8ADE-005EA3C4FF52}"/>
            </c:ext>
          </c:extLst>
        </c:ser>
        <c:ser>
          <c:idx val="20"/>
          <c:order val="20"/>
          <c:tx>
            <c:strRef>
              <c:f>Sheet1!$L$22</c:f>
              <c:strCache>
                <c:ptCount val="1"/>
                <c:pt idx="0">
                  <c:v>Electronic check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Sheet1!$M$22</c:f>
              <c:numCache>
                <c:formatCode>[$INR]\ #,##0.0;[Red][$INR]\ \-#,##0.0</c:formatCode>
                <c:ptCount val="1"/>
                <c:pt idx="0">
                  <c:v>39.65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FB0-4395-8ADE-005EA3C4FF52}"/>
            </c:ext>
          </c:extLst>
        </c:ser>
        <c:ser>
          <c:idx val="21"/>
          <c:order val="21"/>
          <c:tx>
            <c:strRef>
              <c:f>Sheet1!$L$23</c:f>
              <c:strCache>
                <c:ptCount val="1"/>
                <c:pt idx="0">
                  <c:v>Bank transfer (automatic)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Sheet1!$M$23</c:f>
              <c:numCache>
                <c:formatCode>[$INR]\ #,##0.0;[Red][$INR]\ \-#,##0.0</c:formatCode>
                <c:ptCount val="1"/>
                <c:pt idx="0">
                  <c:v>19.8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FB0-4395-8ADE-005EA3C4FF52}"/>
            </c:ext>
          </c:extLst>
        </c:ser>
        <c:ser>
          <c:idx val="22"/>
          <c:order val="22"/>
          <c:tx>
            <c:strRef>
              <c:f>Sheet1!$L$24</c:f>
              <c:strCache>
                <c:ptCount val="1"/>
                <c:pt idx="0">
                  <c:v>Mailed check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Sheet1!$M$24</c:f>
              <c:numCache>
                <c:formatCode>[$INR]\ #,##0.0;[Red][$INR]\ \-#,##0.0</c:formatCode>
                <c:ptCount val="1"/>
                <c:pt idx="0">
                  <c:v>20.149999999999999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FB0-4395-8ADE-005EA3C4FF52}"/>
            </c:ext>
          </c:extLst>
        </c:ser>
        <c:ser>
          <c:idx val="23"/>
          <c:order val="23"/>
          <c:tx>
            <c:strRef>
              <c:f>Sheet1!$L$25</c:f>
              <c:strCache>
                <c:ptCount val="1"/>
                <c:pt idx="0">
                  <c:v>Credit card (automatic)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Sheet1!$M$25</c:f>
              <c:numCache>
                <c:formatCode>[$INR]\ #,##0.0;[Red][$INR]\ \-#,##0.0</c:formatCode>
                <c:ptCount val="1"/>
                <c:pt idx="0">
                  <c:v>59.9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FB0-4395-8ADE-005EA3C4FF52}"/>
            </c:ext>
          </c:extLst>
        </c:ser>
        <c:ser>
          <c:idx val="24"/>
          <c:order val="24"/>
          <c:tx>
            <c:strRef>
              <c:f>Sheet1!$L$26</c:f>
              <c:strCache>
                <c:ptCount val="1"/>
                <c:pt idx="0">
                  <c:v>Credit card (automatic)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Sheet1!$M$26</c:f>
              <c:numCache>
                <c:formatCode>[$INR]\ #,##0.0;[Red][$INR]\ \-#,##0.0</c:formatCode>
                <c:ptCount val="1"/>
                <c:pt idx="0">
                  <c:v>59.6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FB0-4395-8ADE-005EA3C4FF52}"/>
            </c:ext>
          </c:extLst>
        </c:ser>
        <c:ser>
          <c:idx val="25"/>
          <c:order val="25"/>
          <c:tx>
            <c:strRef>
              <c:f>Sheet1!$L$27</c:f>
              <c:strCache>
                <c:ptCount val="1"/>
                <c:pt idx="0">
                  <c:v>Bank transfer (automatic)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Sheet1!$M$27</c:f>
              <c:numCache>
                <c:formatCode>[$INR]\ #,##0.0;[Red][$INR]\ \-#,##0.0</c:formatCode>
                <c:ptCount val="1"/>
                <c:pt idx="0">
                  <c:v>55.3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FB0-4395-8ADE-005EA3C4FF52}"/>
            </c:ext>
          </c:extLst>
        </c:ser>
        <c:ser>
          <c:idx val="26"/>
          <c:order val="26"/>
          <c:tx>
            <c:strRef>
              <c:f>Sheet1!$L$28</c:f>
              <c:strCache>
                <c:ptCount val="1"/>
                <c:pt idx="0">
                  <c:v>Electronic check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Sheet1!$M$28</c:f>
              <c:numCache>
                <c:formatCode>[$INR]\ #,##0.0;[Red][$INR]\ \-#,##0.0</c:formatCode>
                <c:ptCount val="1"/>
                <c:pt idx="0">
                  <c:v>99.35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FB0-4395-8ADE-005EA3C4FF52}"/>
            </c:ext>
          </c:extLst>
        </c:ser>
        <c:ser>
          <c:idx val="27"/>
          <c:order val="27"/>
          <c:tx>
            <c:strRef>
              <c:f>Sheet1!$L$29</c:f>
              <c:strCache>
                <c:ptCount val="1"/>
                <c:pt idx="0">
                  <c:v>Electronic check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Sheet1!$M$29</c:f>
              <c:numCache>
                <c:formatCode>[$INR]\ #,##0.0;[Red][$INR]\ \-#,##0.0</c:formatCode>
                <c:ptCount val="1"/>
                <c:pt idx="0">
                  <c:v>30.2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FB0-4395-8ADE-005EA3C4FF52}"/>
            </c:ext>
          </c:extLst>
        </c:ser>
        <c:ser>
          <c:idx val="28"/>
          <c:order val="28"/>
          <c:tx>
            <c:strRef>
              <c:f>Sheet1!$L$30</c:f>
              <c:strCache>
                <c:ptCount val="1"/>
                <c:pt idx="0">
                  <c:v>Credit card (automatic)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Sheet1!$M$30</c:f>
              <c:numCache>
                <c:formatCode>[$INR]\ #,##0.0;[Red][$INR]\ \-#,##0.0</c:formatCode>
                <c:ptCount val="1"/>
                <c:pt idx="0">
                  <c:v>90.25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3FB0-4395-8ADE-005EA3C4F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118127"/>
        <c:axId val="1290125807"/>
      </c:barChart>
      <c:catAx>
        <c:axId val="129011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125807"/>
        <c:crosses val="autoZero"/>
        <c:auto val="1"/>
        <c:lblAlgn val="ctr"/>
        <c:lblOffset val="100"/>
        <c:noMultiLvlLbl val="0"/>
      </c:catAx>
      <c:valAx>
        <c:axId val="129012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INR]\ #,##0.0;[Red][$INR]\ \-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11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665573053368332E-2"/>
          <c:y val="0.39988043161271508"/>
          <c:w val="0.86422440944881895"/>
          <c:h val="0.539934383202099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F8-451B-A2B2-7BD22E246F6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F8-451B-A2B2-7BD22E246F6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F8-451B-A2B2-7BD22E246F6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AF8-451B-A2B2-7BD22E246F6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AF8-451B-A2B2-7BD22E246F6D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AF8-451B-A2B2-7BD22E246F6D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AF8-451B-A2B2-7BD22E246F6D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AF8-451B-A2B2-7BD22E246F6D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AF8-451B-A2B2-7BD22E246F6D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AF8-451B-A2B2-7BD22E246F6D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AF8-451B-A2B2-7BD22E246F6D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AF8-451B-A2B2-7BD22E246F6D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AF8-451B-A2B2-7BD22E246F6D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AF8-451B-A2B2-7BD22E246F6D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AF8-451B-A2B2-7BD22E246F6D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AF8-451B-A2B2-7BD22E246F6D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AF8-451B-A2B2-7BD22E246F6D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AF8-451B-A2B2-7BD22E246F6D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AF8-451B-A2B2-7BD22E246F6D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AF8-451B-A2B2-7BD22E246F6D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AF8-451B-A2B2-7BD22E246F6D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AF8-451B-A2B2-7BD22E246F6D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AF8-451B-A2B2-7BD22E246F6D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AF8-451B-A2B2-7BD22E246F6D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0AF8-451B-A2B2-7BD22E246F6D}"/>
              </c:ext>
            </c:extLst>
          </c:dPt>
          <c:dPt>
            <c:idx val="2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0AF8-451B-A2B2-7BD22E246F6D}"/>
              </c:ext>
            </c:extLst>
          </c:dPt>
          <c:dPt>
            <c:idx val="2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0AF8-451B-A2B2-7BD22E246F6D}"/>
              </c:ext>
            </c:extLst>
          </c:dPt>
          <c:dPt>
            <c:idx val="2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0AF8-451B-A2B2-7BD22E246F6D}"/>
              </c:ext>
            </c:extLst>
          </c:dPt>
          <c:dPt>
            <c:idx val="2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0AF8-451B-A2B2-7BD22E246F6D}"/>
              </c:ext>
            </c:extLst>
          </c:dPt>
          <c:dPt>
            <c:idx val="2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0AF8-451B-A2B2-7BD22E246F6D}"/>
              </c:ext>
            </c:extLst>
          </c:dPt>
          <c:cat>
            <c:strRef>
              <c:f>Sheet1!$L$2:$L$31</c:f>
              <c:strCache>
                <c:ptCount val="29"/>
                <c:pt idx="0">
                  <c:v>Electronic check</c:v>
                </c:pt>
                <c:pt idx="1">
                  <c:v>Mailed check</c:v>
                </c:pt>
                <c:pt idx="2">
                  <c:v>Mailed check</c:v>
                </c:pt>
                <c:pt idx="3">
                  <c:v>Bank transfer (automatic)</c:v>
                </c:pt>
                <c:pt idx="4">
                  <c:v>Electronic check</c:v>
                </c:pt>
                <c:pt idx="5">
                  <c:v>Electronic check</c:v>
                </c:pt>
                <c:pt idx="6">
                  <c:v>Credit card (automatic)</c:v>
                </c:pt>
                <c:pt idx="7">
                  <c:v>Mailed check</c:v>
                </c:pt>
                <c:pt idx="8">
                  <c:v>Electronic check</c:v>
                </c:pt>
                <c:pt idx="9">
                  <c:v>Bank transfer (automatic)</c:v>
                </c:pt>
                <c:pt idx="10">
                  <c:v>Mailed check</c:v>
                </c:pt>
                <c:pt idx="11">
                  <c:v>Credit card (automatic)</c:v>
                </c:pt>
                <c:pt idx="12">
                  <c:v>Credit card (automatic)</c:v>
                </c:pt>
                <c:pt idx="13">
                  <c:v>Bank transfer (automatic)</c:v>
                </c:pt>
                <c:pt idx="14">
                  <c:v>Electronic check</c:v>
                </c:pt>
                <c:pt idx="15">
                  <c:v>Credit card (automatic)</c:v>
                </c:pt>
                <c:pt idx="16">
                  <c:v>Mailed check</c:v>
                </c:pt>
                <c:pt idx="17">
                  <c:v>Bank transfer (automatic)</c:v>
                </c:pt>
                <c:pt idx="18">
                  <c:v>Credit card (automatic)</c:v>
                </c:pt>
                <c:pt idx="19">
                  <c:v>Electronic check</c:v>
                </c:pt>
                <c:pt idx="20">
                  <c:v>Electronic check</c:v>
                </c:pt>
                <c:pt idx="21">
                  <c:v>Bank transfer (automatic)</c:v>
                </c:pt>
                <c:pt idx="22">
                  <c:v>Mailed check</c:v>
                </c:pt>
                <c:pt idx="23">
                  <c:v>Credit card (automatic)</c:v>
                </c:pt>
                <c:pt idx="24">
                  <c:v>Credit card (automatic)</c:v>
                </c:pt>
                <c:pt idx="25">
                  <c:v>Bank transfer (automatic)</c:v>
                </c:pt>
                <c:pt idx="26">
                  <c:v>Electronic check</c:v>
                </c:pt>
                <c:pt idx="27">
                  <c:v>Electronic check</c:v>
                </c:pt>
                <c:pt idx="28">
                  <c:v>Credit card (automatic)</c:v>
                </c:pt>
              </c:strCache>
            </c:strRef>
          </c:cat>
          <c:val>
            <c:numRef>
              <c:f>Sheet1!$M$2:$M$31</c:f>
              <c:numCache>
                <c:formatCode>[$INR]\ #,##0.0;[Red][$INR]\ \-#,##0.0</c:formatCode>
                <c:ptCount val="30"/>
                <c:pt idx="0">
                  <c:v>29.85</c:v>
                </c:pt>
                <c:pt idx="1">
                  <c:v>56.95</c:v>
                </c:pt>
                <c:pt idx="2">
                  <c:v>53.85</c:v>
                </c:pt>
                <c:pt idx="3">
                  <c:v>42.3</c:v>
                </c:pt>
                <c:pt idx="4">
                  <c:v>70.7</c:v>
                </c:pt>
                <c:pt idx="5">
                  <c:v>99.65</c:v>
                </c:pt>
                <c:pt idx="6">
                  <c:v>89.1</c:v>
                </c:pt>
                <c:pt idx="7">
                  <c:v>29.75</c:v>
                </c:pt>
                <c:pt idx="8">
                  <c:v>104.8</c:v>
                </c:pt>
                <c:pt idx="9">
                  <c:v>56.15</c:v>
                </c:pt>
                <c:pt idx="10">
                  <c:v>49.95</c:v>
                </c:pt>
                <c:pt idx="11">
                  <c:v>18.95</c:v>
                </c:pt>
                <c:pt idx="12">
                  <c:v>100.35</c:v>
                </c:pt>
                <c:pt idx="13">
                  <c:v>103.7</c:v>
                </c:pt>
                <c:pt idx="14">
                  <c:v>105.5</c:v>
                </c:pt>
                <c:pt idx="15">
                  <c:v>113.25</c:v>
                </c:pt>
                <c:pt idx="16">
                  <c:v>20.65</c:v>
                </c:pt>
                <c:pt idx="17">
                  <c:v>106.7</c:v>
                </c:pt>
                <c:pt idx="18">
                  <c:v>55.2</c:v>
                </c:pt>
                <c:pt idx="19">
                  <c:v>90.05</c:v>
                </c:pt>
                <c:pt idx="20">
                  <c:v>39.65</c:v>
                </c:pt>
                <c:pt idx="21">
                  <c:v>19.8</c:v>
                </c:pt>
                <c:pt idx="22">
                  <c:v>20.149999999999999</c:v>
                </c:pt>
                <c:pt idx="23">
                  <c:v>59.9</c:v>
                </c:pt>
                <c:pt idx="24">
                  <c:v>59.6</c:v>
                </c:pt>
                <c:pt idx="25">
                  <c:v>55.3</c:v>
                </c:pt>
                <c:pt idx="26">
                  <c:v>99.35</c:v>
                </c:pt>
                <c:pt idx="27">
                  <c:v>30.2</c:v>
                </c:pt>
                <c:pt idx="28">
                  <c:v>90.25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A-4D08-AFED-A610A098A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[2]Sheet1!$A$2:$A$7</c:f>
              <c:strCache>
                <c:ptCount val="6"/>
                <c:pt idx="0">
                  <c:v>2000</c:v>
                </c:pt>
                <c:pt idx="1">
                  <c:v>2000</c:v>
                </c:pt>
                <c:pt idx="2">
                  <c:v>5000</c:v>
                </c:pt>
                <c:pt idx="3">
                  <c:v>6000</c:v>
                </c:pt>
                <c:pt idx="4">
                  <c:v>8000</c:v>
                </c:pt>
                <c:pt idx="5">
                  <c:v>More</c:v>
                </c:pt>
              </c:strCache>
            </c:strRef>
          </c:cat>
          <c:val>
            <c:numRef>
              <c:f>[2]Sheet1!$B$2:$B$7</c:f>
              <c:numCache>
                <c:formatCode>General</c:formatCode>
                <c:ptCount val="6"/>
                <c:pt idx="0">
                  <c:v>18</c:v>
                </c:pt>
                <c:pt idx="1">
                  <c:v>0</c:v>
                </c:pt>
                <c:pt idx="2">
                  <c:v>6</c:v>
                </c:pt>
                <c:pt idx="3">
                  <c:v>2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2-497B-841F-8CE1FF5DF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6093536"/>
        <c:axId val="1876097856"/>
      </c:barChart>
      <c:catAx>
        <c:axId val="1876093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6097856"/>
        <c:crosses val="autoZero"/>
        <c:auto val="1"/>
        <c:lblAlgn val="ctr"/>
        <c:lblOffset val="100"/>
        <c:noMultiLvlLbl val="0"/>
      </c:catAx>
      <c:valAx>
        <c:axId val="18760978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60935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E627EDD0-C2A1-46FE-8573-D189301DBD40}">
          <cx:dataId val="0"/>
          <cx:layoutPr>
            <cx:aggregation/>
          </cx:layoutPr>
          <cx:axisId val="1"/>
        </cx:series>
        <cx:series layoutId="paretoLine" ownerIdx="0" uniqueId="{EE7CDF12-7930-4DE7-97A9-FF9BFB8EFC7B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ln>
      <a:solidFill>
        <a:schemeClr val="accent1"/>
      </a:solidFill>
    </a:ln>
    <a:effectLst>
      <a:outerShdw blurRad="50800" dist="38100" dir="18900000" algn="bl" rotWithShape="0">
        <a:prstClr val="black">
          <a:alpha val="40000"/>
        </a:prstClr>
      </a:outerShd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9525</xdr:colOff>
      <xdr:row>17</xdr:row>
      <xdr:rowOff>100012</xdr:rowOff>
    </xdr:from>
    <xdr:to>
      <xdr:col>32</xdr:col>
      <xdr:colOff>314325</xdr:colOff>
      <xdr:row>31</xdr:row>
      <xdr:rowOff>176212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AB786E2-8257-56FC-268A-6FC2F1C76B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421850" y="33861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33</xdr:col>
      <xdr:colOff>238125</xdr:colOff>
      <xdr:row>1</xdr:row>
      <xdr:rowOff>142875</xdr:rowOff>
    </xdr:from>
    <xdr:to>
      <xdr:col>40</xdr:col>
      <xdr:colOff>542925</xdr:colOff>
      <xdr:row>16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9B82B9-03F0-46B1-89D2-FD5E480AD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552450</xdr:colOff>
      <xdr:row>1</xdr:row>
      <xdr:rowOff>157162</xdr:rowOff>
    </xdr:from>
    <xdr:to>
      <xdr:col>24</xdr:col>
      <xdr:colOff>247650</xdr:colOff>
      <xdr:row>16</xdr:row>
      <xdr:rowOff>42862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E60F50-F7E9-16BB-AF7D-CCFE8E779B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552450</xdr:colOff>
      <xdr:row>17</xdr:row>
      <xdr:rowOff>4762</xdr:rowOff>
    </xdr:from>
    <xdr:to>
      <xdr:col>24</xdr:col>
      <xdr:colOff>247650</xdr:colOff>
      <xdr:row>31</xdr:row>
      <xdr:rowOff>80962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970D97A-42C6-5AFB-93C4-9E739E615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57150</xdr:colOff>
      <xdr:row>1</xdr:row>
      <xdr:rowOff>185737</xdr:rowOff>
    </xdr:from>
    <xdr:to>
      <xdr:col>32</xdr:col>
      <xdr:colOff>361950</xdr:colOff>
      <xdr:row>16</xdr:row>
      <xdr:rowOff>71437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7979A68-F6EC-B0CA-F76E-DA804ECEB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304800</xdr:colOff>
      <xdr:row>18</xdr:row>
      <xdr:rowOff>23812</xdr:rowOff>
    </xdr:from>
    <xdr:to>
      <xdr:col>41</xdr:col>
      <xdr:colOff>0</xdr:colOff>
      <xdr:row>32</xdr:row>
      <xdr:rowOff>100012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2D0D68B-7AB0-111E-769D-083317BF3C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238125</xdr:colOff>
      <xdr:row>35</xdr:row>
      <xdr:rowOff>180975</xdr:rowOff>
    </xdr:from>
    <xdr:to>
      <xdr:col>26</xdr:col>
      <xdr:colOff>238125</xdr:colOff>
      <xdr:row>45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D293E4-32F1-4C0B-ADFF-7B17BE04C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18.95</v>
          </cell>
          <cell r="B2">
            <v>0</v>
          </cell>
        </row>
        <row r="3">
          <cell r="A3">
            <v>19.8</v>
          </cell>
          <cell r="B3">
            <v>0</v>
          </cell>
        </row>
        <row r="4">
          <cell r="A4">
            <v>20.149999999999999</v>
          </cell>
          <cell r="B4">
            <v>1</v>
          </cell>
        </row>
        <row r="5">
          <cell r="A5">
            <v>20.65</v>
          </cell>
          <cell r="B5">
            <v>0</v>
          </cell>
        </row>
        <row r="6">
          <cell r="A6">
            <v>29.75</v>
          </cell>
          <cell r="B6">
            <v>0</v>
          </cell>
        </row>
        <row r="7">
          <cell r="A7">
            <v>30.2</v>
          </cell>
          <cell r="B7">
            <v>1</v>
          </cell>
        </row>
        <row r="8">
          <cell r="A8">
            <v>39.65</v>
          </cell>
          <cell r="B8">
            <v>1</v>
          </cell>
        </row>
        <row r="9">
          <cell r="A9">
            <v>42.3</v>
          </cell>
          <cell r="B9">
            <v>0</v>
          </cell>
        </row>
        <row r="10">
          <cell r="A10">
            <v>49.95</v>
          </cell>
          <cell r="B10">
            <v>0</v>
          </cell>
        </row>
        <row r="11">
          <cell r="A11">
            <v>53.85</v>
          </cell>
          <cell r="B11">
            <v>0</v>
          </cell>
        </row>
        <row r="12">
          <cell r="A12">
            <v>55.2</v>
          </cell>
          <cell r="B12">
            <v>0</v>
          </cell>
        </row>
        <row r="13">
          <cell r="A13">
            <v>55.3</v>
          </cell>
          <cell r="B13">
            <v>0</v>
          </cell>
        </row>
        <row r="14">
          <cell r="A14">
            <v>56.15</v>
          </cell>
          <cell r="B14">
            <v>0</v>
          </cell>
        </row>
        <row r="15">
          <cell r="A15">
            <v>59.6</v>
          </cell>
          <cell r="B15">
            <v>0</v>
          </cell>
        </row>
        <row r="16">
          <cell r="A16">
            <v>59.9</v>
          </cell>
          <cell r="B16">
            <v>0</v>
          </cell>
        </row>
        <row r="17">
          <cell r="A17">
            <v>70.7</v>
          </cell>
          <cell r="B17">
            <v>0</v>
          </cell>
        </row>
        <row r="18">
          <cell r="A18">
            <v>89.1</v>
          </cell>
          <cell r="B18">
            <v>0</v>
          </cell>
        </row>
        <row r="19">
          <cell r="A19">
            <v>90.05</v>
          </cell>
          <cell r="B19">
            <v>0</v>
          </cell>
        </row>
        <row r="20">
          <cell r="A20">
            <v>90.25</v>
          </cell>
          <cell r="B20">
            <v>0</v>
          </cell>
        </row>
        <row r="21">
          <cell r="A21">
            <v>99.35</v>
          </cell>
          <cell r="B21">
            <v>0</v>
          </cell>
        </row>
        <row r="22">
          <cell r="A22">
            <v>99.65</v>
          </cell>
          <cell r="B22">
            <v>0</v>
          </cell>
        </row>
        <row r="23">
          <cell r="A23">
            <v>100.35</v>
          </cell>
          <cell r="B23">
            <v>0</v>
          </cell>
        </row>
        <row r="24">
          <cell r="A24">
            <v>103.7</v>
          </cell>
          <cell r="B24">
            <v>0</v>
          </cell>
        </row>
        <row r="25">
          <cell r="A25">
            <v>104.8</v>
          </cell>
          <cell r="B25">
            <v>0</v>
          </cell>
        </row>
        <row r="26">
          <cell r="A26">
            <v>105.5</v>
          </cell>
          <cell r="B26">
            <v>0</v>
          </cell>
        </row>
        <row r="27">
          <cell r="A27">
            <v>106.7</v>
          </cell>
          <cell r="B27">
            <v>0</v>
          </cell>
        </row>
        <row r="28">
          <cell r="A28">
            <v>113.25</v>
          </cell>
          <cell r="B28">
            <v>1</v>
          </cell>
        </row>
        <row r="29">
          <cell r="A29" t="str">
            <v>More</v>
          </cell>
          <cell r="B29">
            <v>23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2000</v>
          </cell>
          <cell r="B2">
            <v>18</v>
          </cell>
        </row>
        <row r="3">
          <cell r="A3">
            <v>2000</v>
          </cell>
          <cell r="B3">
            <v>0</v>
          </cell>
        </row>
        <row r="4">
          <cell r="A4">
            <v>5000</v>
          </cell>
          <cell r="B4">
            <v>6</v>
          </cell>
        </row>
        <row r="5">
          <cell r="A5">
            <v>6000</v>
          </cell>
          <cell r="B5">
            <v>2</v>
          </cell>
        </row>
        <row r="6">
          <cell r="A6">
            <v>8000</v>
          </cell>
          <cell r="B6">
            <v>3</v>
          </cell>
        </row>
        <row r="7">
          <cell r="A7" t="str">
            <v>More</v>
          </cell>
          <cell r="B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5AEC-670A-4099-8920-DF5FCF77E608}">
  <dimension ref="A1:G14"/>
  <sheetViews>
    <sheetView workbookViewId="0">
      <selection sqref="A1:G14"/>
    </sheetView>
  </sheetViews>
  <sheetFormatPr defaultRowHeight="15" x14ac:dyDescent="0.25"/>
  <sheetData>
    <row r="1" spans="1:7" x14ac:dyDescent="0.25">
      <c r="A1" t="s">
        <v>81</v>
      </c>
    </row>
    <row r="3" spans="1:7" ht="15.75" thickBot="1" x14ac:dyDescent="0.3">
      <c r="A3" t="s">
        <v>82</v>
      </c>
    </row>
    <row r="4" spans="1:7" x14ac:dyDescent="0.25">
      <c r="A4" s="28" t="s">
        <v>83</v>
      </c>
      <c r="B4" s="28" t="s">
        <v>77</v>
      </c>
      <c r="C4" s="28" t="s">
        <v>76</v>
      </c>
      <c r="D4" s="28" t="s">
        <v>84</v>
      </c>
      <c r="E4" s="28" t="s">
        <v>85</v>
      </c>
    </row>
    <row r="5" spans="1:7" x14ac:dyDescent="0.25">
      <c r="A5" s="26" t="s">
        <v>61</v>
      </c>
      <c r="B5" s="26">
        <v>29</v>
      </c>
      <c r="C5" s="26">
        <v>1871.6000000000004</v>
      </c>
      <c r="D5" s="26">
        <v>64.537931034482767</v>
      </c>
      <c r="E5" s="26">
        <v>1000.701724137929</v>
      </c>
    </row>
    <row r="6" spans="1:7" ht="15.75" thickBot="1" x14ac:dyDescent="0.3">
      <c r="A6" s="27" t="s">
        <v>62</v>
      </c>
      <c r="B6" s="27">
        <v>29</v>
      </c>
      <c r="C6" s="27">
        <v>66051.850000000006</v>
      </c>
      <c r="D6" s="27">
        <v>2277.65</v>
      </c>
      <c r="E6" s="27">
        <v>5575432.8303571409</v>
      </c>
    </row>
    <row r="9" spans="1:7" ht="15.75" thickBot="1" x14ac:dyDescent="0.3">
      <c r="A9" t="s">
        <v>86</v>
      </c>
    </row>
    <row r="10" spans="1:7" x14ac:dyDescent="0.25">
      <c r="A10" s="28" t="s">
        <v>87</v>
      </c>
      <c r="B10" s="28" t="s">
        <v>88</v>
      </c>
      <c r="C10" s="28" t="s">
        <v>89</v>
      </c>
      <c r="D10" s="28" t="s">
        <v>90</v>
      </c>
      <c r="E10" s="28" t="s">
        <v>91</v>
      </c>
      <c r="F10" s="28" t="s">
        <v>92</v>
      </c>
      <c r="G10" s="28" t="s">
        <v>93</v>
      </c>
    </row>
    <row r="11" spans="1:7" x14ac:dyDescent="0.25">
      <c r="A11" s="26" t="s">
        <v>94</v>
      </c>
      <c r="B11" s="26">
        <v>71019042.932112128</v>
      </c>
      <c r="C11" s="26">
        <v>1</v>
      </c>
      <c r="D11" s="26">
        <v>71019042.932112128</v>
      </c>
      <c r="E11" s="26">
        <v>25.471134022682723</v>
      </c>
      <c r="F11" s="26">
        <v>5.0625423648206887E-6</v>
      </c>
      <c r="G11" s="26">
        <v>4.0129733776501437</v>
      </c>
    </row>
    <row r="12" spans="1:7" x14ac:dyDescent="0.25">
      <c r="A12" s="26" t="s">
        <v>95</v>
      </c>
      <c r="B12" s="26">
        <v>156140138.89827582</v>
      </c>
      <c r="C12" s="26">
        <v>56</v>
      </c>
      <c r="D12" s="26">
        <v>2788216.7660406395</v>
      </c>
      <c r="E12" s="26"/>
      <c r="F12" s="26"/>
      <c r="G12" s="26"/>
    </row>
    <row r="13" spans="1:7" x14ac:dyDescent="0.25">
      <c r="A13" s="26"/>
      <c r="B13" s="26"/>
      <c r="C13" s="26"/>
      <c r="D13" s="26"/>
      <c r="E13" s="26"/>
      <c r="F13" s="26"/>
      <c r="G13" s="26"/>
    </row>
    <row r="14" spans="1:7" ht="15.75" thickBot="1" x14ac:dyDescent="0.3">
      <c r="A14" s="27" t="s">
        <v>96</v>
      </c>
      <c r="B14" s="27">
        <v>227159181.83038795</v>
      </c>
      <c r="C14" s="27">
        <v>57</v>
      </c>
      <c r="D14" s="27"/>
      <c r="E14" s="27"/>
      <c r="F14" s="27"/>
      <c r="G14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345B-5118-4F68-A8E0-6F8AB96563A7}">
  <dimension ref="A1:I53"/>
  <sheetViews>
    <sheetView topLeftCell="A10" workbookViewId="0">
      <selection sqref="A1:I53"/>
    </sheetView>
  </sheetViews>
  <sheetFormatPr defaultRowHeight="15" x14ac:dyDescent="0.25"/>
  <sheetData>
    <row r="1" spans="1:9" x14ac:dyDescent="0.25">
      <c r="A1" t="s">
        <v>98</v>
      </c>
    </row>
    <row r="2" spans="1:9" ht="15.75" thickBot="1" x14ac:dyDescent="0.3"/>
    <row r="3" spans="1:9" x14ac:dyDescent="0.25">
      <c r="A3" s="31" t="s">
        <v>99</v>
      </c>
      <c r="B3" s="31"/>
    </row>
    <row r="4" spans="1:9" x14ac:dyDescent="0.25">
      <c r="A4" s="26" t="s">
        <v>100</v>
      </c>
      <c r="B4" s="26">
        <v>0.74392650602795662</v>
      </c>
    </row>
    <row r="5" spans="1:9" x14ac:dyDescent="0.25">
      <c r="A5" s="26" t="s">
        <v>101</v>
      </c>
      <c r="B5" s="26">
        <v>0.55342664637096339</v>
      </c>
    </row>
    <row r="6" spans="1:9" x14ac:dyDescent="0.25">
      <c r="A6" s="26" t="s">
        <v>102</v>
      </c>
      <c r="B6" s="26">
        <v>0.53688689253285093</v>
      </c>
    </row>
    <row r="7" spans="1:9" x14ac:dyDescent="0.25">
      <c r="A7" s="26" t="s">
        <v>66</v>
      </c>
      <c r="B7" s="26">
        <v>21.527612155398263</v>
      </c>
    </row>
    <row r="8" spans="1:9" ht="15.75" thickBot="1" x14ac:dyDescent="0.3">
      <c r="A8" s="27" t="s">
        <v>103</v>
      </c>
      <c r="B8" s="27">
        <v>29</v>
      </c>
    </row>
    <row r="10" spans="1:9" ht="15.75" thickBot="1" x14ac:dyDescent="0.3">
      <c r="A10" t="s">
        <v>86</v>
      </c>
    </row>
    <row r="11" spans="1:9" x14ac:dyDescent="0.25">
      <c r="A11" s="28"/>
      <c r="B11" s="28" t="s">
        <v>89</v>
      </c>
      <c r="C11" s="28" t="s">
        <v>88</v>
      </c>
      <c r="D11" s="28" t="s">
        <v>90</v>
      </c>
      <c r="E11" s="28" t="s">
        <v>91</v>
      </c>
      <c r="F11" s="28" t="s">
        <v>107</v>
      </c>
    </row>
    <row r="12" spans="1:9" x14ac:dyDescent="0.25">
      <c r="A12" s="26" t="s">
        <v>104</v>
      </c>
      <c r="B12" s="26">
        <v>1</v>
      </c>
      <c r="C12" s="26">
        <v>15506.819977804294</v>
      </c>
      <c r="D12" s="26">
        <v>15506.819977804294</v>
      </c>
      <c r="E12" s="26">
        <v>33.460391961560234</v>
      </c>
      <c r="F12" s="26">
        <v>3.7400064804862511E-6</v>
      </c>
    </row>
    <row r="13" spans="1:9" x14ac:dyDescent="0.25">
      <c r="A13" s="26" t="s">
        <v>105</v>
      </c>
      <c r="B13" s="26">
        <v>27</v>
      </c>
      <c r="C13" s="26">
        <v>12512.828298057779</v>
      </c>
      <c r="D13" s="26">
        <v>463.43808511325108</v>
      </c>
      <c r="E13" s="26"/>
      <c r="F13" s="26"/>
    </row>
    <row r="14" spans="1:9" ht="15.75" thickBot="1" x14ac:dyDescent="0.3">
      <c r="A14" s="27" t="s">
        <v>96</v>
      </c>
      <c r="B14" s="27">
        <v>28</v>
      </c>
      <c r="C14" s="27">
        <v>28019.648275862073</v>
      </c>
      <c r="D14" s="27"/>
      <c r="E14" s="27"/>
      <c r="F14" s="27"/>
    </row>
    <row r="15" spans="1:9" ht="15.75" thickBot="1" x14ac:dyDescent="0.3"/>
    <row r="16" spans="1:9" x14ac:dyDescent="0.25">
      <c r="A16" s="28"/>
      <c r="B16" s="28" t="s">
        <v>108</v>
      </c>
      <c r="C16" s="28" t="s">
        <v>66</v>
      </c>
      <c r="D16" s="28" t="s">
        <v>109</v>
      </c>
      <c r="E16" s="28" t="s">
        <v>92</v>
      </c>
      <c r="F16" s="28" t="s">
        <v>110</v>
      </c>
      <c r="G16" s="28" t="s">
        <v>111</v>
      </c>
      <c r="H16" s="28" t="s">
        <v>112</v>
      </c>
      <c r="I16" s="28" t="s">
        <v>113</v>
      </c>
    </row>
    <row r="17" spans="1:9" x14ac:dyDescent="0.25">
      <c r="A17" s="26" t="s">
        <v>106</v>
      </c>
      <c r="B17" s="26">
        <v>41.837711832724665</v>
      </c>
      <c r="C17" s="26">
        <v>5.6018675424379181</v>
      </c>
      <c r="D17" s="26">
        <v>7.4685292923789843</v>
      </c>
      <c r="E17" s="26">
        <v>4.9257000454046131E-8</v>
      </c>
      <c r="F17" s="26">
        <v>30.343629059870121</v>
      </c>
      <c r="G17" s="26">
        <v>53.331794605579205</v>
      </c>
      <c r="H17" s="26">
        <v>30.343629059870121</v>
      </c>
      <c r="I17" s="26">
        <v>53.331794605579205</v>
      </c>
    </row>
    <row r="18" spans="1:9" ht="15.75" thickBot="1" x14ac:dyDescent="0.3">
      <c r="A18" s="27" t="s">
        <v>114</v>
      </c>
      <c r="B18" s="27">
        <v>9.9665089903005731E-3</v>
      </c>
      <c r="C18" s="27">
        <v>1.7229693459923743E-3</v>
      </c>
      <c r="D18" s="27">
        <v>5.7844958260474382</v>
      </c>
      <c r="E18" s="27">
        <v>3.7400064804862511E-6</v>
      </c>
      <c r="F18" s="27">
        <v>6.4312679072333397E-3</v>
      </c>
      <c r="G18" s="27">
        <v>1.3501750073367806E-2</v>
      </c>
      <c r="H18" s="27">
        <v>6.4312679072333397E-3</v>
      </c>
      <c r="I18" s="27">
        <v>1.3501750073367806E-2</v>
      </c>
    </row>
    <row r="22" spans="1:9" x14ac:dyDescent="0.25">
      <c r="A22" t="s">
        <v>115</v>
      </c>
    </row>
    <row r="23" spans="1:9" ht="15.75" thickBot="1" x14ac:dyDescent="0.3"/>
    <row r="24" spans="1:9" x14ac:dyDescent="0.25">
      <c r="A24" s="28" t="s">
        <v>116</v>
      </c>
      <c r="B24" s="28" t="s">
        <v>117</v>
      </c>
      <c r="C24" s="28" t="s">
        <v>118</v>
      </c>
      <c r="D24" s="28" t="s">
        <v>119</v>
      </c>
    </row>
    <row r="25" spans="1:9" x14ac:dyDescent="0.25">
      <c r="A25" s="26">
        <v>1</v>
      </c>
      <c r="B25" s="26">
        <v>42.135212126085136</v>
      </c>
      <c r="C25" s="26">
        <v>-12.285212126085135</v>
      </c>
      <c r="D25" s="26">
        <v>-0.58114423353376099</v>
      </c>
    </row>
    <row r="26" spans="1:9" x14ac:dyDescent="0.25">
      <c r="A26" s="26">
        <v>2</v>
      </c>
      <c r="B26" s="26">
        <v>60.6694305698976</v>
      </c>
      <c r="C26" s="26">
        <v>-3.7194305698975967</v>
      </c>
      <c r="D26" s="26">
        <v>-0.1759453239831017</v>
      </c>
    </row>
    <row r="27" spans="1:9" x14ac:dyDescent="0.25">
      <c r="A27" s="26">
        <v>3</v>
      </c>
      <c r="B27" s="26">
        <v>42.91558978002567</v>
      </c>
      <c r="C27" s="26">
        <v>10.934410219974332</v>
      </c>
      <c r="D27" s="26">
        <v>0.51724539887579879</v>
      </c>
    </row>
    <row r="28" spans="1:9" x14ac:dyDescent="0.25">
      <c r="A28" s="26">
        <v>4</v>
      </c>
      <c r="B28" s="26">
        <v>60.183563256620445</v>
      </c>
      <c r="C28" s="26">
        <v>-17.883563256620448</v>
      </c>
      <c r="D28" s="26">
        <v>-0.84597071299680371</v>
      </c>
    </row>
    <row r="29" spans="1:9" x14ac:dyDescent="0.25">
      <c r="A29" s="26">
        <v>5</v>
      </c>
      <c r="B29" s="26">
        <v>43.349132921103745</v>
      </c>
      <c r="C29" s="26">
        <v>27.350867078896258</v>
      </c>
      <c r="D29" s="26">
        <v>1.2938155663832283</v>
      </c>
    </row>
    <row r="30" spans="1:9" x14ac:dyDescent="0.25">
      <c r="A30" s="26">
        <v>6</v>
      </c>
      <c r="B30" s="26">
        <v>50.015232459266286</v>
      </c>
      <c r="C30" s="26">
        <v>49.634767540733719</v>
      </c>
      <c r="D30" s="26">
        <v>2.3479414635291258</v>
      </c>
    </row>
    <row r="31" spans="1:9" x14ac:dyDescent="0.25">
      <c r="A31" s="26">
        <v>7</v>
      </c>
      <c r="B31" s="26">
        <v>61.266424458416601</v>
      </c>
      <c r="C31" s="26">
        <v>27.833575541583393</v>
      </c>
      <c r="D31" s="26">
        <v>1.3166497866384033</v>
      </c>
    </row>
    <row r="32" spans="1:9" x14ac:dyDescent="0.25">
      <c r="A32" s="26">
        <v>8</v>
      </c>
      <c r="B32" s="26">
        <v>44.846600896896405</v>
      </c>
      <c r="C32" s="26">
        <v>-15.096600896896405</v>
      </c>
      <c r="D32" s="26">
        <v>-0.71413521127271673</v>
      </c>
    </row>
    <row r="33" spans="1:4" x14ac:dyDescent="0.25">
      <c r="A33" s="26">
        <v>9</v>
      </c>
      <c r="B33" s="26">
        <v>72.196196542629735</v>
      </c>
      <c r="C33" s="26">
        <v>32.603803457370262</v>
      </c>
      <c r="D33" s="26">
        <v>1.5423024182291212</v>
      </c>
    </row>
    <row r="34" spans="1:4" x14ac:dyDescent="0.25">
      <c r="A34" s="26">
        <v>10</v>
      </c>
      <c r="B34" s="26">
        <v>76.600396865443543</v>
      </c>
      <c r="C34" s="26">
        <v>-20.450396865443544</v>
      </c>
      <c r="D34" s="26">
        <v>-0.96739316259707353</v>
      </c>
    </row>
    <row r="35" spans="1:4" x14ac:dyDescent="0.25">
      <c r="A35" s="26">
        <v>11</v>
      </c>
      <c r="B35" s="26">
        <v>47.692537539076739</v>
      </c>
      <c r="C35" s="26">
        <v>2.2574624609232643</v>
      </c>
      <c r="D35" s="26">
        <v>0.10678784201038849</v>
      </c>
    </row>
    <row r="36" spans="1:4" x14ac:dyDescent="0.25">
      <c r="A36" s="26">
        <v>12</v>
      </c>
      <c r="B36" s="26">
        <v>45.09476697075489</v>
      </c>
      <c r="C36" s="26">
        <v>-26.14476697075489</v>
      </c>
      <c r="D36" s="26">
        <v>-1.2367617592761824</v>
      </c>
    </row>
    <row r="37" spans="1:4" x14ac:dyDescent="0.25">
      <c r="A37" s="26">
        <v>13</v>
      </c>
      <c r="B37" s="26">
        <v>98.458446057521257</v>
      </c>
      <c r="C37" s="26">
        <v>1.8915539424787369</v>
      </c>
      <c r="D37" s="26">
        <v>8.9478769662878155E-2</v>
      </c>
    </row>
    <row r="38" spans="1:4" x14ac:dyDescent="0.25">
      <c r="A38" s="26">
        <v>14</v>
      </c>
      <c r="B38" s="26">
        <v>92.032041060575438</v>
      </c>
      <c r="C38" s="26">
        <v>11.667958939424565</v>
      </c>
      <c r="D38" s="26">
        <v>0.55194545972533204</v>
      </c>
    </row>
    <row r="39" spans="1:4" x14ac:dyDescent="0.25">
      <c r="A39" s="26">
        <v>15</v>
      </c>
      <c r="B39" s="26">
        <v>68.608253306121526</v>
      </c>
      <c r="C39" s="26">
        <v>36.891746693878474</v>
      </c>
      <c r="D39" s="26">
        <v>1.7451408763722875</v>
      </c>
    </row>
    <row r="40" spans="1:4" x14ac:dyDescent="0.25">
      <c r="A40" s="26">
        <v>16</v>
      </c>
      <c r="B40" s="26">
        <v>120.52479528749623</v>
      </c>
      <c r="C40" s="26">
        <v>-7.2747952874962323</v>
      </c>
      <c r="D40" s="26">
        <v>-0.34412961600315772</v>
      </c>
    </row>
    <row r="41" spans="1:4" x14ac:dyDescent="0.25">
      <c r="A41" s="26">
        <v>17</v>
      </c>
      <c r="B41" s="26">
        <v>52.03295220435264</v>
      </c>
      <c r="C41" s="26">
        <v>-31.382952204352641</v>
      </c>
      <c r="D41" s="26">
        <v>-1.4845508174906041</v>
      </c>
    </row>
    <row r="42" spans="1:4" x14ac:dyDescent="0.25">
      <c r="A42" s="26">
        <v>18</v>
      </c>
      <c r="B42" s="26">
        <v>115.41297282637107</v>
      </c>
      <c r="C42" s="26">
        <v>-8.7129728263710717</v>
      </c>
      <c r="D42" s="26">
        <v>-0.41216170001905056</v>
      </c>
    </row>
    <row r="43" spans="1:4" x14ac:dyDescent="0.25">
      <c r="A43" s="26">
        <v>19</v>
      </c>
      <c r="B43" s="26">
        <v>47.103516857749973</v>
      </c>
      <c r="C43" s="26">
        <v>8.0964831422500296</v>
      </c>
      <c r="D43" s="26">
        <v>0.38299904321809214</v>
      </c>
    </row>
    <row r="44" spans="1:4" x14ac:dyDescent="0.25">
      <c r="A44" s="26">
        <v>20</v>
      </c>
      <c r="B44" s="26">
        <v>60.404321430755601</v>
      </c>
      <c r="C44" s="26">
        <v>29.645678569244396</v>
      </c>
      <c r="D44" s="26">
        <v>1.4023701807419966</v>
      </c>
    </row>
    <row r="45" spans="1:4" x14ac:dyDescent="0.25">
      <c r="A45" s="26">
        <v>21</v>
      </c>
      <c r="B45" s="26">
        <v>42.232883914190083</v>
      </c>
      <c r="C45" s="26">
        <v>-2.5828839141900843</v>
      </c>
      <c r="D45" s="26">
        <v>-0.12218169920172163</v>
      </c>
    </row>
    <row r="46" spans="1:4" x14ac:dyDescent="0.25">
      <c r="A46" s="26">
        <v>22</v>
      </c>
      <c r="B46" s="26">
        <v>43.853438276012959</v>
      </c>
      <c r="C46" s="26">
        <v>-24.053438276012958</v>
      </c>
      <c r="D46" s="26">
        <v>-1.1378327705945475</v>
      </c>
    </row>
    <row r="47" spans="1:4" x14ac:dyDescent="0.25">
      <c r="A47" s="26">
        <v>23</v>
      </c>
      <c r="B47" s="26">
        <v>42.038536988879223</v>
      </c>
      <c r="C47" s="26">
        <v>-21.888536988879224</v>
      </c>
      <c r="D47" s="26">
        <v>-1.0354234766991472</v>
      </c>
    </row>
    <row r="48" spans="1:4" x14ac:dyDescent="0.25">
      <c r="A48" s="26">
        <v>24</v>
      </c>
      <c r="B48" s="26">
        <v>76.771322494627199</v>
      </c>
      <c r="C48" s="26">
        <v>-16.871322494627201</v>
      </c>
      <c r="D48" s="26">
        <v>-0.79808730034240194</v>
      </c>
    </row>
    <row r="49" spans="1:4" x14ac:dyDescent="0.25">
      <c r="A49" s="26">
        <v>25</v>
      </c>
      <c r="B49" s="26">
        <v>71.441233486614465</v>
      </c>
      <c r="C49" s="26">
        <v>-11.841233486614463</v>
      </c>
      <c r="D49" s="26">
        <v>-0.56014210320890467</v>
      </c>
    </row>
    <row r="50" spans="1:4" x14ac:dyDescent="0.25">
      <c r="A50" s="26">
        <v>26</v>
      </c>
      <c r="B50" s="26">
        <v>57.092450493278719</v>
      </c>
      <c r="C50" s="26">
        <v>-1.7924504932787215</v>
      </c>
      <c r="D50" s="26">
        <v>-8.4790743323991655E-2</v>
      </c>
    </row>
    <row r="51" spans="1:4" x14ac:dyDescent="0.25">
      <c r="A51" s="26">
        <v>27</v>
      </c>
      <c r="B51" s="26">
        <v>89.170158004010631</v>
      </c>
      <c r="C51" s="26">
        <v>10.179841995989364</v>
      </c>
      <c r="D51" s="26">
        <v>0.48155102358328084</v>
      </c>
    </row>
    <row r="52" spans="1:4" x14ac:dyDescent="0.25">
      <c r="A52" s="26">
        <v>28</v>
      </c>
      <c r="B52" s="26">
        <v>42.138700404231741</v>
      </c>
      <c r="C52" s="26">
        <v>-11.938700404231742</v>
      </c>
      <c r="D52" s="26">
        <v>-0.56475271445047392</v>
      </c>
    </row>
    <row r="53" spans="1:4" ht="15.75" thickBot="1" x14ac:dyDescent="0.3">
      <c r="A53" s="27">
        <v>29</v>
      </c>
      <c r="B53" s="27">
        <v>105.31889252099465</v>
      </c>
      <c r="C53" s="27">
        <v>-15.068892520994652</v>
      </c>
      <c r="D53" s="27">
        <v>-0.71282448397630327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BF07B-C546-4D3C-A0E6-EF89EFB33582}">
  <dimension ref="A1:BA64"/>
  <sheetViews>
    <sheetView tabSelected="1" topLeftCell="P2" workbookViewId="0">
      <selection activeCell="P4" sqref="P4"/>
    </sheetView>
  </sheetViews>
  <sheetFormatPr defaultRowHeight="15" x14ac:dyDescent="0.25"/>
  <cols>
    <col min="1" max="1" width="15.140625" bestFit="1" customWidth="1"/>
    <col min="2" max="2" width="9.42578125" bestFit="1" customWidth="1"/>
    <col min="3" max="3" width="17.140625" bestFit="1" customWidth="1"/>
    <col min="4" max="4" width="10.140625" bestFit="1" customWidth="1"/>
    <col min="5" max="5" width="15.42578125" bestFit="1" customWidth="1"/>
    <col min="6" max="6" width="9" bestFit="1" customWidth="1"/>
    <col min="7" max="7" width="17.7109375" bestFit="1" customWidth="1"/>
    <col min="8" max="8" width="17.140625" bestFit="1" customWidth="1"/>
    <col min="9" max="9" width="20" bestFit="1" customWidth="1"/>
    <col min="10" max="10" width="19" bestFit="1" customWidth="1"/>
    <col min="11" max="11" width="20.5703125" bestFit="1" customWidth="1"/>
    <col min="12" max="12" width="23.85546875" bestFit="1" customWidth="1"/>
    <col min="13" max="13" width="20.5703125" bestFit="1" customWidth="1"/>
    <col min="14" max="14" width="17.28515625" bestFit="1" customWidth="1"/>
    <col min="15" max="15" width="8.28515625" bestFit="1" customWidth="1"/>
    <col min="16" max="16" width="13.140625" customWidth="1"/>
    <col min="43" max="43" width="18" bestFit="1" customWidth="1"/>
    <col min="44" max="44" width="12" bestFit="1" customWidth="1"/>
    <col min="45" max="45" width="14.5703125" bestFit="1" customWidth="1"/>
    <col min="46" max="46" width="18.5703125" bestFit="1" customWidth="1"/>
    <col min="47" max="47" width="12" bestFit="1" customWidth="1"/>
    <col min="48" max="48" width="13.42578125" bestFit="1" customWidth="1"/>
    <col min="49" max="49" width="12" bestFit="1" customWidth="1"/>
    <col min="50" max="50" width="12.42578125" bestFit="1" customWidth="1"/>
    <col min="51" max="51" width="12.5703125" bestFit="1" customWidth="1"/>
  </cols>
  <sheetData>
    <row r="1" spans="1:53" ht="18.7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0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56</v>
      </c>
      <c r="Q1" s="15" t="s">
        <v>97</v>
      </c>
      <c r="R1" s="15"/>
      <c r="S1" s="15"/>
      <c r="T1" s="15"/>
    </row>
    <row r="2" spans="1:53" x14ac:dyDescent="0.25">
      <c r="A2" t="s">
        <v>15</v>
      </c>
      <c r="B2" t="s">
        <v>16</v>
      </c>
      <c r="C2" s="14">
        <v>0</v>
      </c>
      <c r="D2" t="s">
        <v>17</v>
      </c>
      <c r="E2" s="3" t="s">
        <v>18</v>
      </c>
      <c r="F2" s="6">
        <v>1</v>
      </c>
      <c r="G2" s="4" t="s">
        <v>18</v>
      </c>
      <c r="H2" s="2" t="s">
        <v>19</v>
      </c>
      <c r="I2" s="12" t="s">
        <v>20</v>
      </c>
      <c r="J2" t="s">
        <v>18</v>
      </c>
      <c r="K2" t="s">
        <v>17</v>
      </c>
      <c r="L2" t="s">
        <v>21</v>
      </c>
      <c r="M2" s="9">
        <v>29.85</v>
      </c>
      <c r="N2" s="8">
        <v>29.85</v>
      </c>
      <c r="O2" t="s">
        <v>18</v>
      </c>
      <c r="P2">
        <f ca="1">RANDBETWEEN(500000,599999)</f>
        <v>568889</v>
      </c>
      <c r="Q2" s="16">
        <v>5000</v>
      </c>
      <c r="R2" s="18"/>
      <c r="S2" s="17"/>
      <c r="T2" s="19"/>
      <c r="BA2">
        <v>1</v>
      </c>
    </row>
    <row r="3" spans="1:53" x14ac:dyDescent="0.25">
      <c r="A3" t="s">
        <v>22</v>
      </c>
      <c r="B3" t="s">
        <v>23</v>
      </c>
      <c r="C3" s="14">
        <v>0</v>
      </c>
      <c r="D3" t="s">
        <v>18</v>
      </c>
      <c r="E3" s="3" t="s">
        <v>18</v>
      </c>
      <c r="F3" s="6">
        <v>34</v>
      </c>
      <c r="G3" s="4" t="s">
        <v>17</v>
      </c>
      <c r="H3" s="2" t="s">
        <v>18</v>
      </c>
      <c r="I3" s="12" t="s">
        <v>20</v>
      </c>
      <c r="J3" t="s">
        <v>17</v>
      </c>
      <c r="K3" t="s">
        <v>18</v>
      </c>
      <c r="L3" t="s">
        <v>24</v>
      </c>
      <c r="M3" s="9">
        <v>56.95</v>
      </c>
      <c r="N3" s="8">
        <v>1889.5</v>
      </c>
      <c r="O3" t="s">
        <v>18</v>
      </c>
      <c r="P3">
        <f t="shared" ref="P3:P30" ca="1" si="0">RANDBETWEEN(500000,599999)</f>
        <v>528570</v>
      </c>
      <c r="Q3" s="16">
        <v>2000</v>
      </c>
      <c r="R3" s="18"/>
      <c r="S3" s="17"/>
      <c r="T3" s="19"/>
    </row>
    <row r="4" spans="1:53" x14ac:dyDescent="0.25">
      <c r="A4" t="s">
        <v>25</v>
      </c>
      <c r="B4" t="s">
        <v>23</v>
      </c>
      <c r="C4" s="14">
        <v>0</v>
      </c>
      <c r="D4" t="s">
        <v>18</v>
      </c>
      <c r="E4" s="3" t="s">
        <v>18</v>
      </c>
      <c r="F4" s="6">
        <v>2</v>
      </c>
      <c r="G4" s="4" t="s">
        <v>17</v>
      </c>
      <c r="H4" s="2" t="s">
        <v>18</v>
      </c>
      <c r="I4" s="12" t="s">
        <v>20</v>
      </c>
      <c r="J4" t="s">
        <v>17</v>
      </c>
      <c r="K4" t="s">
        <v>17</v>
      </c>
      <c r="L4" t="s">
        <v>24</v>
      </c>
      <c r="M4" s="9">
        <v>53.85</v>
      </c>
      <c r="N4" s="8">
        <v>108.15</v>
      </c>
      <c r="O4" t="s">
        <v>17</v>
      </c>
      <c r="P4">
        <f t="shared" ca="1" si="0"/>
        <v>542485</v>
      </c>
      <c r="Q4" s="16">
        <v>3000</v>
      </c>
      <c r="R4" s="18"/>
      <c r="S4" s="17"/>
      <c r="T4" s="19"/>
    </row>
    <row r="5" spans="1:53" x14ac:dyDescent="0.25">
      <c r="A5" t="s">
        <v>26</v>
      </c>
      <c r="B5" t="s">
        <v>23</v>
      </c>
      <c r="C5" s="14">
        <v>0</v>
      </c>
      <c r="D5" t="s">
        <v>18</v>
      </c>
      <c r="E5" s="3" t="s">
        <v>18</v>
      </c>
      <c r="F5" s="6">
        <v>45</v>
      </c>
      <c r="G5" s="4" t="s">
        <v>18</v>
      </c>
      <c r="H5" s="2" t="s">
        <v>19</v>
      </c>
      <c r="I5" s="12" t="s">
        <v>20</v>
      </c>
      <c r="J5" t="s">
        <v>17</v>
      </c>
      <c r="K5" t="s">
        <v>18</v>
      </c>
      <c r="L5" t="s">
        <v>27</v>
      </c>
      <c r="M5" s="9">
        <v>42.3</v>
      </c>
      <c r="N5" s="8">
        <v>1840.75</v>
      </c>
      <c r="O5" t="s">
        <v>18</v>
      </c>
      <c r="P5">
        <f t="shared" ca="1" si="0"/>
        <v>587693</v>
      </c>
      <c r="Q5" s="16">
        <v>6000</v>
      </c>
      <c r="R5" s="18"/>
      <c r="S5" s="17"/>
      <c r="T5" s="19"/>
      <c r="AQ5" t="s">
        <v>98</v>
      </c>
    </row>
    <row r="6" spans="1:53" ht="15.75" thickBot="1" x14ac:dyDescent="0.3">
      <c r="A6" t="s">
        <v>28</v>
      </c>
      <c r="B6" t="s">
        <v>16</v>
      </c>
      <c r="C6" s="14">
        <v>0</v>
      </c>
      <c r="D6" t="s">
        <v>18</v>
      </c>
      <c r="E6" s="3" t="s">
        <v>18</v>
      </c>
      <c r="F6" s="6">
        <v>2</v>
      </c>
      <c r="G6" s="4" t="s">
        <v>17</v>
      </c>
      <c r="H6" s="2" t="s">
        <v>18</v>
      </c>
      <c r="I6" s="12" t="s">
        <v>29</v>
      </c>
      <c r="J6" t="s">
        <v>18</v>
      </c>
      <c r="K6" t="s">
        <v>17</v>
      </c>
      <c r="L6" t="s">
        <v>21</v>
      </c>
      <c r="M6" s="9">
        <v>70.7</v>
      </c>
      <c r="N6" s="8">
        <v>151.65</v>
      </c>
      <c r="O6" t="s">
        <v>17</v>
      </c>
      <c r="P6">
        <f t="shared" ca="1" si="0"/>
        <v>534143</v>
      </c>
      <c r="Q6" s="16">
        <v>8000</v>
      </c>
      <c r="R6" s="18"/>
      <c r="S6" s="17"/>
      <c r="T6" s="19"/>
    </row>
    <row r="7" spans="1:53" x14ac:dyDescent="0.25">
      <c r="A7" t="s">
        <v>30</v>
      </c>
      <c r="B7" t="s">
        <v>16</v>
      </c>
      <c r="C7" s="14">
        <v>0</v>
      </c>
      <c r="D7" t="s">
        <v>18</v>
      </c>
      <c r="E7" s="3" t="s">
        <v>18</v>
      </c>
      <c r="F7" s="6">
        <v>8</v>
      </c>
      <c r="G7" s="4" t="s">
        <v>17</v>
      </c>
      <c r="H7" s="2" t="s">
        <v>17</v>
      </c>
      <c r="I7" s="12" t="s">
        <v>29</v>
      </c>
      <c r="J7" t="s">
        <v>18</v>
      </c>
      <c r="K7" t="s">
        <v>17</v>
      </c>
      <c r="L7" t="s">
        <v>21</v>
      </c>
      <c r="M7" s="9">
        <v>99.65</v>
      </c>
      <c r="N7" s="8">
        <v>820.5</v>
      </c>
      <c r="O7" t="s">
        <v>17</v>
      </c>
      <c r="P7">
        <f t="shared" ca="1" si="0"/>
        <v>575339</v>
      </c>
      <c r="Q7" s="16"/>
      <c r="R7" s="18"/>
      <c r="S7" s="17"/>
      <c r="T7" s="19"/>
      <c r="AQ7" s="31" t="s">
        <v>99</v>
      </c>
      <c r="AR7" s="31"/>
    </row>
    <row r="8" spans="1:53" x14ac:dyDescent="0.25">
      <c r="A8" t="s">
        <v>31</v>
      </c>
      <c r="B8" t="s">
        <v>23</v>
      </c>
      <c r="C8" s="14">
        <v>0</v>
      </c>
      <c r="D8" t="s">
        <v>18</v>
      </c>
      <c r="E8" s="3" t="s">
        <v>17</v>
      </c>
      <c r="F8" s="6">
        <v>22</v>
      </c>
      <c r="G8" s="4" t="s">
        <v>17</v>
      </c>
      <c r="H8" s="2" t="s">
        <v>17</v>
      </c>
      <c r="I8" s="12" t="s">
        <v>29</v>
      </c>
      <c r="J8" t="s">
        <v>18</v>
      </c>
      <c r="K8" t="s">
        <v>17</v>
      </c>
      <c r="L8" t="s">
        <v>32</v>
      </c>
      <c r="M8" s="9">
        <v>89.1</v>
      </c>
      <c r="N8" s="8">
        <v>1949.4</v>
      </c>
      <c r="O8" t="s">
        <v>18</v>
      </c>
      <c r="P8">
        <f t="shared" ca="1" si="0"/>
        <v>525835</v>
      </c>
      <c r="Q8" s="16"/>
      <c r="R8" s="18"/>
      <c r="S8" s="17"/>
      <c r="T8" s="19"/>
      <c r="AQ8" s="26" t="s">
        <v>100</v>
      </c>
      <c r="AR8" s="26">
        <v>0.74392650602795662</v>
      </c>
    </row>
    <row r="9" spans="1:53" x14ac:dyDescent="0.25">
      <c r="A9" t="s">
        <v>33</v>
      </c>
      <c r="B9" t="s">
        <v>16</v>
      </c>
      <c r="C9" s="14">
        <v>0</v>
      </c>
      <c r="D9" t="s">
        <v>18</v>
      </c>
      <c r="E9" s="3" t="s">
        <v>18</v>
      </c>
      <c r="F9" s="6">
        <v>10</v>
      </c>
      <c r="G9" s="4" t="s">
        <v>18</v>
      </c>
      <c r="H9" s="2" t="s">
        <v>19</v>
      </c>
      <c r="I9" s="12" t="s">
        <v>20</v>
      </c>
      <c r="J9" t="s">
        <v>17</v>
      </c>
      <c r="K9" t="s">
        <v>18</v>
      </c>
      <c r="L9" t="s">
        <v>24</v>
      </c>
      <c r="M9" s="9">
        <v>29.75</v>
      </c>
      <c r="N9" s="8">
        <v>301.89999999999998</v>
      </c>
      <c r="O9" t="s">
        <v>18</v>
      </c>
      <c r="P9">
        <f t="shared" ca="1" si="0"/>
        <v>539920</v>
      </c>
      <c r="Q9" s="16"/>
      <c r="R9" s="18"/>
      <c r="S9" s="17"/>
      <c r="T9" s="19"/>
      <c r="AQ9" s="26" t="s">
        <v>101</v>
      </c>
      <c r="AR9" s="26">
        <v>0.55342664637096339</v>
      </c>
    </row>
    <row r="10" spans="1:53" x14ac:dyDescent="0.25">
      <c r="A10" t="s">
        <v>34</v>
      </c>
      <c r="B10" t="s">
        <v>16</v>
      </c>
      <c r="C10" s="14">
        <v>0</v>
      </c>
      <c r="D10" t="s">
        <v>17</v>
      </c>
      <c r="E10" s="3" t="s">
        <v>18</v>
      </c>
      <c r="F10" s="6">
        <v>28</v>
      </c>
      <c r="G10" s="4" t="s">
        <v>17</v>
      </c>
      <c r="H10" s="2" t="s">
        <v>17</v>
      </c>
      <c r="I10" s="12" t="s">
        <v>29</v>
      </c>
      <c r="J10" t="s">
        <v>18</v>
      </c>
      <c r="K10" t="s">
        <v>17</v>
      </c>
      <c r="L10" t="s">
        <v>21</v>
      </c>
      <c r="M10" s="9">
        <v>104.8</v>
      </c>
      <c r="N10" s="8">
        <v>3046.05</v>
      </c>
      <c r="O10" t="s">
        <v>17</v>
      </c>
      <c r="P10">
        <f t="shared" ca="1" si="0"/>
        <v>516361</v>
      </c>
      <c r="Q10" s="16"/>
      <c r="R10" s="18"/>
      <c r="S10" s="17"/>
      <c r="T10" s="19"/>
      <c r="AQ10" s="26" t="s">
        <v>102</v>
      </c>
      <c r="AR10" s="26">
        <v>0.53688689253285093</v>
      </c>
    </row>
    <row r="11" spans="1:53" x14ac:dyDescent="0.25">
      <c r="A11" t="s">
        <v>35</v>
      </c>
      <c r="B11" t="s">
        <v>23</v>
      </c>
      <c r="C11" s="14">
        <v>0</v>
      </c>
      <c r="D11" t="s">
        <v>18</v>
      </c>
      <c r="E11" s="3" t="s">
        <v>17</v>
      </c>
      <c r="F11" s="6">
        <v>62</v>
      </c>
      <c r="G11" s="4" t="s">
        <v>17</v>
      </c>
      <c r="H11" s="2" t="s">
        <v>18</v>
      </c>
      <c r="I11" s="12" t="s">
        <v>20</v>
      </c>
      <c r="J11" t="s">
        <v>17</v>
      </c>
      <c r="K11" t="s">
        <v>18</v>
      </c>
      <c r="L11" t="s">
        <v>27</v>
      </c>
      <c r="M11" s="9">
        <v>56.15</v>
      </c>
      <c r="N11" s="8">
        <v>3487.95</v>
      </c>
      <c r="O11" t="s">
        <v>18</v>
      </c>
      <c r="P11">
        <f t="shared" ca="1" si="0"/>
        <v>598341</v>
      </c>
      <c r="Q11" s="16"/>
      <c r="R11" s="18"/>
      <c r="S11" s="17"/>
      <c r="T11" s="19"/>
      <c r="AQ11" s="26" t="s">
        <v>66</v>
      </c>
      <c r="AR11" s="26">
        <v>21.527612155398263</v>
      </c>
    </row>
    <row r="12" spans="1:53" ht="15.75" thickBot="1" x14ac:dyDescent="0.3">
      <c r="A12" t="s">
        <v>36</v>
      </c>
      <c r="B12" t="s">
        <v>23</v>
      </c>
      <c r="C12" s="14">
        <v>0</v>
      </c>
      <c r="D12" t="s">
        <v>17</v>
      </c>
      <c r="E12" s="3" t="s">
        <v>17</v>
      </c>
      <c r="F12" s="6">
        <v>13</v>
      </c>
      <c r="G12" s="4" t="s">
        <v>17</v>
      </c>
      <c r="H12" s="2" t="s">
        <v>18</v>
      </c>
      <c r="I12" s="12" t="s">
        <v>20</v>
      </c>
      <c r="J12" t="s">
        <v>17</v>
      </c>
      <c r="K12" t="s">
        <v>17</v>
      </c>
      <c r="L12" t="s">
        <v>24</v>
      </c>
      <c r="M12" s="9">
        <v>49.95</v>
      </c>
      <c r="N12" s="8">
        <v>587.45000000000005</v>
      </c>
      <c r="O12" t="s">
        <v>18</v>
      </c>
      <c r="P12">
        <f t="shared" ca="1" si="0"/>
        <v>524749</v>
      </c>
      <c r="Q12" s="16"/>
      <c r="R12" s="18"/>
      <c r="S12" s="17"/>
      <c r="T12" s="19"/>
      <c r="AQ12" s="27" t="s">
        <v>103</v>
      </c>
      <c r="AR12" s="27">
        <v>29</v>
      </c>
    </row>
    <row r="13" spans="1:53" x14ac:dyDescent="0.25">
      <c r="A13" t="s">
        <v>37</v>
      </c>
      <c r="B13" t="s">
        <v>23</v>
      </c>
      <c r="C13" s="14">
        <v>0</v>
      </c>
      <c r="D13" t="s">
        <v>18</v>
      </c>
      <c r="E13" s="3" t="s">
        <v>18</v>
      </c>
      <c r="F13" s="6">
        <v>16</v>
      </c>
      <c r="G13" s="4" t="s">
        <v>17</v>
      </c>
      <c r="H13" s="2" t="s">
        <v>18</v>
      </c>
      <c r="I13" s="12" t="s">
        <v>18</v>
      </c>
      <c r="J13" t="s">
        <v>38</v>
      </c>
      <c r="K13" t="s">
        <v>18</v>
      </c>
      <c r="L13" t="s">
        <v>32</v>
      </c>
      <c r="M13" s="9">
        <v>18.95</v>
      </c>
      <c r="N13" s="8">
        <v>326.8</v>
      </c>
      <c r="O13" t="s">
        <v>18</v>
      </c>
      <c r="P13">
        <f t="shared" ca="1" si="0"/>
        <v>530291</v>
      </c>
      <c r="Q13" s="16"/>
      <c r="R13" s="18"/>
      <c r="S13" s="17"/>
      <c r="T13" s="19"/>
    </row>
    <row r="14" spans="1:53" ht="15.75" thickBot="1" x14ac:dyDescent="0.3">
      <c r="A14" t="s">
        <v>39</v>
      </c>
      <c r="B14" t="s">
        <v>23</v>
      </c>
      <c r="C14" s="14">
        <v>0</v>
      </c>
      <c r="D14" t="s">
        <v>17</v>
      </c>
      <c r="E14" s="3" t="s">
        <v>18</v>
      </c>
      <c r="F14" s="6">
        <v>58</v>
      </c>
      <c r="G14" s="4" t="s">
        <v>17</v>
      </c>
      <c r="H14" s="2" t="s">
        <v>17</v>
      </c>
      <c r="I14" s="12" t="s">
        <v>29</v>
      </c>
      <c r="J14" t="s">
        <v>18</v>
      </c>
      <c r="K14" t="s">
        <v>18</v>
      </c>
      <c r="L14" t="s">
        <v>32</v>
      </c>
      <c r="M14" s="9">
        <v>100.35</v>
      </c>
      <c r="N14" s="8">
        <v>5681.1</v>
      </c>
      <c r="O14" t="s">
        <v>18</v>
      </c>
      <c r="P14">
        <f t="shared" ca="1" si="0"/>
        <v>515539</v>
      </c>
      <c r="Q14" s="16"/>
      <c r="R14" s="18"/>
      <c r="S14" s="17"/>
      <c r="T14" s="19"/>
      <c r="AQ14" t="s">
        <v>86</v>
      </c>
    </row>
    <row r="15" spans="1:53" x14ac:dyDescent="0.25">
      <c r="A15" t="s">
        <v>40</v>
      </c>
      <c r="B15" t="s">
        <v>23</v>
      </c>
      <c r="C15" s="14">
        <v>0</v>
      </c>
      <c r="D15" t="s">
        <v>18</v>
      </c>
      <c r="E15" s="3" t="s">
        <v>18</v>
      </c>
      <c r="F15" s="6">
        <v>49</v>
      </c>
      <c r="G15" s="4" t="s">
        <v>17</v>
      </c>
      <c r="H15" s="2" t="s">
        <v>17</v>
      </c>
      <c r="I15" s="12" t="s">
        <v>29</v>
      </c>
      <c r="J15" t="s">
        <v>18</v>
      </c>
      <c r="K15" t="s">
        <v>17</v>
      </c>
      <c r="L15" t="s">
        <v>27</v>
      </c>
      <c r="M15" s="9">
        <v>103.7</v>
      </c>
      <c r="N15" s="8">
        <v>5036.3</v>
      </c>
      <c r="O15" t="s">
        <v>17</v>
      </c>
      <c r="P15">
        <f t="shared" ca="1" si="0"/>
        <v>506837</v>
      </c>
      <c r="Q15" s="16"/>
      <c r="R15" s="18"/>
      <c r="S15" s="17"/>
      <c r="T15" s="19"/>
      <c r="AQ15" s="28"/>
      <c r="AR15" s="28" t="s">
        <v>89</v>
      </c>
      <c r="AS15" s="28" t="s">
        <v>88</v>
      </c>
      <c r="AT15" s="28" t="s">
        <v>90</v>
      </c>
      <c r="AU15" s="28" t="s">
        <v>91</v>
      </c>
      <c r="AV15" s="28" t="s">
        <v>107</v>
      </c>
    </row>
    <row r="16" spans="1:53" x14ac:dyDescent="0.25">
      <c r="A16" t="s">
        <v>41</v>
      </c>
      <c r="B16" t="s">
        <v>23</v>
      </c>
      <c r="C16" s="14">
        <v>0</v>
      </c>
      <c r="D16" t="s">
        <v>18</v>
      </c>
      <c r="E16" s="3" t="s">
        <v>18</v>
      </c>
      <c r="F16" s="6">
        <v>25</v>
      </c>
      <c r="G16" s="4" t="s">
        <v>17</v>
      </c>
      <c r="H16" s="2" t="s">
        <v>18</v>
      </c>
      <c r="I16" s="12" t="s">
        <v>29</v>
      </c>
      <c r="J16" t="s">
        <v>17</v>
      </c>
      <c r="K16" t="s">
        <v>17</v>
      </c>
      <c r="L16" t="s">
        <v>21</v>
      </c>
      <c r="M16" s="9">
        <v>105.5</v>
      </c>
      <c r="N16" s="8">
        <v>2686.05</v>
      </c>
      <c r="O16" t="s">
        <v>18</v>
      </c>
      <c r="P16">
        <f t="shared" ca="1" si="0"/>
        <v>568312</v>
      </c>
      <c r="Q16" s="16"/>
      <c r="R16" s="18"/>
      <c r="S16" s="17"/>
      <c r="T16" s="19"/>
      <c r="AQ16" s="26" t="s">
        <v>104</v>
      </c>
      <c r="AR16" s="26">
        <v>1</v>
      </c>
      <c r="AS16" s="26">
        <v>15506.819977804294</v>
      </c>
      <c r="AT16" s="26">
        <v>15506.819977804294</v>
      </c>
      <c r="AU16" s="26">
        <v>33.460391961560234</v>
      </c>
      <c r="AV16" s="26">
        <v>3.7400064804862511E-6</v>
      </c>
    </row>
    <row r="17" spans="1:51" x14ac:dyDescent="0.25">
      <c r="A17" t="s">
        <v>42</v>
      </c>
      <c r="B17" t="s">
        <v>16</v>
      </c>
      <c r="C17" s="14">
        <v>0</v>
      </c>
      <c r="D17" t="s">
        <v>17</v>
      </c>
      <c r="E17" s="3" t="s">
        <v>17</v>
      </c>
      <c r="F17" s="6">
        <v>69</v>
      </c>
      <c r="G17" s="4" t="s">
        <v>17</v>
      </c>
      <c r="H17" s="2" t="s">
        <v>17</v>
      </c>
      <c r="I17" s="12" t="s">
        <v>29</v>
      </c>
      <c r="J17" t="s">
        <v>17</v>
      </c>
      <c r="K17" t="s">
        <v>18</v>
      </c>
      <c r="L17" t="s">
        <v>32</v>
      </c>
      <c r="M17" s="9">
        <v>113.25</v>
      </c>
      <c r="N17" s="8">
        <v>7895.15</v>
      </c>
      <c r="O17" t="s">
        <v>18</v>
      </c>
      <c r="P17">
        <f t="shared" ca="1" si="0"/>
        <v>529702</v>
      </c>
      <c r="Q17" s="16"/>
      <c r="R17" s="18"/>
      <c r="S17" s="17"/>
      <c r="T17" s="19"/>
      <c r="AQ17" s="26" t="s">
        <v>105</v>
      </c>
      <c r="AR17" s="26">
        <v>27</v>
      </c>
      <c r="AS17" s="26">
        <v>12512.828298057779</v>
      </c>
      <c r="AT17" s="26">
        <v>463.43808511325108</v>
      </c>
      <c r="AU17" s="26"/>
      <c r="AV17" s="26"/>
    </row>
    <row r="18" spans="1:51" ht="15.75" thickBot="1" x14ac:dyDescent="0.3">
      <c r="A18" t="s">
        <v>43</v>
      </c>
      <c r="B18" t="s">
        <v>16</v>
      </c>
      <c r="C18" s="14">
        <v>0</v>
      </c>
      <c r="D18" t="s">
        <v>18</v>
      </c>
      <c r="E18" s="3" t="s">
        <v>18</v>
      </c>
      <c r="F18" s="6">
        <v>52</v>
      </c>
      <c r="G18" s="4" t="s">
        <v>17</v>
      </c>
      <c r="H18" s="2" t="s">
        <v>18</v>
      </c>
      <c r="I18" s="12" t="s">
        <v>18</v>
      </c>
      <c r="J18" t="s">
        <v>38</v>
      </c>
      <c r="K18" t="s">
        <v>18</v>
      </c>
      <c r="L18" t="s">
        <v>24</v>
      </c>
      <c r="M18" s="9">
        <v>20.65</v>
      </c>
      <c r="N18" s="8">
        <v>1022.95</v>
      </c>
      <c r="O18" t="s">
        <v>18</v>
      </c>
      <c r="P18">
        <f t="shared" ca="1" si="0"/>
        <v>500720</v>
      </c>
      <c r="Q18" s="16"/>
      <c r="R18" s="18"/>
      <c r="S18" s="17"/>
      <c r="T18" s="19"/>
      <c r="AQ18" s="27" t="s">
        <v>96</v>
      </c>
      <c r="AR18" s="27">
        <v>28</v>
      </c>
      <c r="AS18" s="27">
        <v>28019.648275862073</v>
      </c>
      <c r="AT18" s="27"/>
      <c r="AU18" s="27"/>
      <c r="AV18" s="27"/>
    </row>
    <row r="19" spans="1:51" ht="15.75" thickBot="1" x14ac:dyDescent="0.3">
      <c r="A19" t="s">
        <v>44</v>
      </c>
      <c r="B19" t="s">
        <v>23</v>
      </c>
      <c r="C19" s="14">
        <v>0</v>
      </c>
      <c r="D19" t="s">
        <v>18</v>
      </c>
      <c r="E19" s="3" t="s">
        <v>17</v>
      </c>
      <c r="F19" s="6">
        <v>71</v>
      </c>
      <c r="G19" s="4" t="s">
        <v>17</v>
      </c>
      <c r="H19" s="2" t="s">
        <v>17</v>
      </c>
      <c r="I19" s="12" t="s">
        <v>29</v>
      </c>
      <c r="J19" t="s">
        <v>17</v>
      </c>
      <c r="K19" t="s">
        <v>18</v>
      </c>
      <c r="L19" t="s">
        <v>27</v>
      </c>
      <c r="M19" s="9">
        <v>106.7</v>
      </c>
      <c r="N19" s="8">
        <v>7382.25</v>
      </c>
      <c r="O19" t="s">
        <v>18</v>
      </c>
      <c r="P19">
        <f t="shared" ca="1" si="0"/>
        <v>554194</v>
      </c>
      <c r="Q19" s="16"/>
      <c r="R19" s="18"/>
      <c r="S19" s="17"/>
      <c r="T19" s="19"/>
    </row>
    <row r="20" spans="1:51" x14ac:dyDescent="0.25">
      <c r="A20" t="s">
        <v>45</v>
      </c>
      <c r="B20" t="s">
        <v>16</v>
      </c>
      <c r="C20" s="14">
        <v>0</v>
      </c>
      <c r="D20" t="s">
        <v>17</v>
      </c>
      <c r="E20" s="3" t="s">
        <v>17</v>
      </c>
      <c r="F20" s="6">
        <v>10</v>
      </c>
      <c r="G20" s="4" t="s">
        <v>17</v>
      </c>
      <c r="H20" s="2" t="s">
        <v>18</v>
      </c>
      <c r="I20" s="12" t="s">
        <v>20</v>
      </c>
      <c r="J20" t="s">
        <v>18</v>
      </c>
      <c r="K20" t="s">
        <v>18</v>
      </c>
      <c r="L20" t="s">
        <v>32</v>
      </c>
      <c r="M20" s="9">
        <v>55.2</v>
      </c>
      <c r="N20" s="8">
        <v>528.35</v>
      </c>
      <c r="O20" t="s">
        <v>17</v>
      </c>
      <c r="P20">
        <f t="shared" ca="1" si="0"/>
        <v>509430</v>
      </c>
      <c r="Q20" s="16"/>
      <c r="R20" s="18"/>
      <c r="S20" s="17"/>
      <c r="T20" s="19"/>
      <c r="AQ20" s="28"/>
      <c r="AR20" s="28" t="s">
        <v>108</v>
      </c>
      <c r="AS20" s="28" t="s">
        <v>66</v>
      </c>
      <c r="AT20" s="28" t="s">
        <v>109</v>
      </c>
      <c r="AU20" s="28" t="s">
        <v>92</v>
      </c>
      <c r="AV20" s="28" t="s">
        <v>110</v>
      </c>
      <c r="AW20" s="28" t="s">
        <v>111</v>
      </c>
      <c r="AX20" s="28" t="s">
        <v>112</v>
      </c>
      <c r="AY20" s="28" t="s">
        <v>113</v>
      </c>
    </row>
    <row r="21" spans="1:51" x14ac:dyDescent="0.25">
      <c r="A21" t="s">
        <v>46</v>
      </c>
      <c r="B21" t="s">
        <v>16</v>
      </c>
      <c r="C21" s="14">
        <v>0</v>
      </c>
      <c r="D21" t="s">
        <v>18</v>
      </c>
      <c r="E21" s="3" t="s">
        <v>18</v>
      </c>
      <c r="F21" s="6">
        <v>21</v>
      </c>
      <c r="G21" s="4" t="s">
        <v>17</v>
      </c>
      <c r="H21" s="2" t="s">
        <v>18</v>
      </c>
      <c r="I21" s="12" t="s">
        <v>29</v>
      </c>
      <c r="J21" t="s">
        <v>18</v>
      </c>
      <c r="K21" t="s">
        <v>17</v>
      </c>
      <c r="L21" t="s">
        <v>21</v>
      </c>
      <c r="M21" s="9">
        <v>90.05</v>
      </c>
      <c r="N21" s="8">
        <v>1862.9</v>
      </c>
      <c r="O21" t="s">
        <v>18</v>
      </c>
      <c r="P21">
        <f t="shared" ca="1" si="0"/>
        <v>543981</v>
      </c>
      <c r="Q21" s="16"/>
      <c r="R21" s="18"/>
      <c r="S21" s="17"/>
      <c r="T21" s="19"/>
      <c r="AQ21" s="26" t="s">
        <v>106</v>
      </c>
      <c r="AR21" s="26">
        <v>41.837711832724665</v>
      </c>
      <c r="AS21" s="26">
        <v>5.6018675424379181</v>
      </c>
      <c r="AT21" s="26">
        <v>7.4685292923789843</v>
      </c>
      <c r="AU21" s="26">
        <v>4.9257000454046131E-8</v>
      </c>
      <c r="AV21" s="26">
        <v>30.343629059870121</v>
      </c>
      <c r="AW21" s="26">
        <v>53.331794605579205</v>
      </c>
      <c r="AX21" s="26">
        <v>30.343629059870121</v>
      </c>
      <c r="AY21" s="26">
        <v>53.331794605579205</v>
      </c>
    </row>
    <row r="22" spans="1:51" ht="15.75" thickBot="1" x14ac:dyDescent="0.3">
      <c r="A22" t="s">
        <v>47</v>
      </c>
      <c r="B22" t="s">
        <v>23</v>
      </c>
      <c r="C22" s="14">
        <v>1</v>
      </c>
      <c r="D22" t="s">
        <v>18</v>
      </c>
      <c r="E22" s="3" t="s">
        <v>18</v>
      </c>
      <c r="F22" s="6">
        <v>1</v>
      </c>
      <c r="G22" s="4" t="s">
        <v>18</v>
      </c>
      <c r="H22" s="2" t="s">
        <v>19</v>
      </c>
      <c r="I22" s="12" t="s">
        <v>20</v>
      </c>
      <c r="J22" t="s">
        <v>18</v>
      </c>
      <c r="K22" t="s">
        <v>17</v>
      </c>
      <c r="L22" t="s">
        <v>21</v>
      </c>
      <c r="M22" s="9">
        <v>39.65</v>
      </c>
      <c r="N22" s="8">
        <v>39.65</v>
      </c>
      <c r="O22" t="s">
        <v>17</v>
      </c>
      <c r="P22">
        <f t="shared" ca="1" si="0"/>
        <v>545125</v>
      </c>
      <c r="Q22" s="16"/>
      <c r="R22" s="18"/>
      <c r="S22" s="17"/>
      <c r="T22" s="19"/>
      <c r="AQ22" s="27" t="s">
        <v>114</v>
      </c>
      <c r="AR22" s="27">
        <v>9.9665089903005731E-3</v>
      </c>
      <c r="AS22" s="27">
        <v>1.7229693459923743E-3</v>
      </c>
      <c r="AT22" s="27">
        <v>5.7844958260474382</v>
      </c>
      <c r="AU22" s="27">
        <v>3.7400064804862511E-6</v>
      </c>
      <c r="AV22" s="27">
        <v>6.4312679072333397E-3</v>
      </c>
      <c r="AW22" s="27">
        <v>1.3501750073367806E-2</v>
      </c>
      <c r="AX22" s="27">
        <v>6.4312679072333397E-3</v>
      </c>
      <c r="AY22" s="27">
        <v>1.3501750073367806E-2</v>
      </c>
    </row>
    <row r="23" spans="1:51" x14ac:dyDescent="0.25">
      <c r="A23" t="s">
        <v>48</v>
      </c>
      <c r="B23" t="s">
        <v>23</v>
      </c>
      <c r="C23" s="14">
        <v>0</v>
      </c>
      <c r="D23" t="s">
        <v>17</v>
      </c>
      <c r="E23" s="3" t="s">
        <v>18</v>
      </c>
      <c r="F23" s="6">
        <v>12</v>
      </c>
      <c r="G23" s="4" t="s">
        <v>17</v>
      </c>
      <c r="H23" s="2" t="s">
        <v>18</v>
      </c>
      <c r="I23" s="12" t="s">
        <v>18</v>
      </c>
      <c r="J23" t="s">
        <v>38</v>
      </c>
      <c r="K23" t="s">
        <v>18</v>
      </c>
      <c r="L23" t="s">
        <v>27</v>
      </c>
      <c r="M23" s="9">
        <v>19.8</v>
      </c>
      <c r="N23" s="8">
        <v>202.25</v>
      </c>
      <c r="O23" t="s">
        <v>18</v>
      </c>
      <c r="P23">
        <f t="shared" ca="1" si="0"/>
        <v>538621</v>
      </c>
      <c r="Q23" s="16"/>
      <c r="R23" s="18"/>
      <c r="S23" s="17"/>
      <c r="T23" s="19"/>
    </row>
    <row r="24" spans="1:51" x14ac:dyDescent="0.25">
      <c r="A24" t="s">
        <v>49</v>
      </c>
      <c r="B24" t="s">
        <v>23</v>
      </c>
      <c r="C24" s="14">
        <v>0</v>
      </c>
      <c r="D24" t="s">
        <v>18</v>
      </c>
      <c r="E24" s="3" t="s">
        <v>18</v>
      </c>
      <c r="F24" s="6">
        <v>1</v>
      </c>
      <c r="G24" s="4" t="s">
        <v>17</v>
      </c>
      <c r="H24" s="2" t="s">
        <v>18</v>
      </c>
      <c r="I24" s="12" t="s">
        <v>18</v>
      </c>
      <c r="J24" t="s">
        <v>38</v>
      </c>
      <c r="K24" t="s">
        <v>18</v>
      </c>
      <c r="L24" t="s">
        <v>24</v>
      </c>
      <c r="M24" s="9">
        <v>20.149999999999999</v>
      </c>
      <c r="N24" s="8">
        <v>20.149999999999999</v>
      </c>
      <c r="O24" t="s">
        <v>17</v>
      </c>
      <c r="P24">
        <f t="shared" ca="1" si="0"/>
        <v>515503</v>
      </c>
      <c r="Q24" s="16"/>
      <c r="R24" s="18"/>
      <c r="S24" s="17"/>
      <c r="T24" s="19"/>
    </row>
    <row r="25" spans="1:51" x14ac:dyDescent="0.25">
      <c r="A25" t="s">
        <v>50</v>
      </c>
      <c r="B25" t="s">
        <v>16</v>
      </c>
      <c r="C25" s="14">
        <v>0</v>
      </c>
      <c r="D25" t="s">
        <v>17</v>
      </c>
      <c r="E25" s="3" t="s">
        <v>18</v>
      </c>
      <c r="F25" s="6">
        <v>58</v>
      </c>
      <c r="G25" s="4" t="s">
        <v>17</v>
      </c>
      <c r="H25" s="2" t="s">
        <v>17</v>
      </c>
      <c r="I25" s="12" t="s">
        <v>20</v>
      </c>
      <c r="J25" t="s">
        <v>18</v>
      </c>
      <c r="K25" t="s">
        <v>17</v>
      </c>
      <c r="L25" t="s">
        <v>32</v>
      </c>
      <c r="M25" s="9">
        <v>59.9</v>
      </c>
      <c r="N25" s="8">
        <v>3505.1</v>
      </c>
      <c r="O25" t="s">
        <v>18</v>
      </c>
      <c r="P25">
        <f t="shared" ca="1" si="0"/>
        <v>525936</v>
      </c>
      <c r="Q25" s="16"/>
      <c r="R25" s="18"/>
      <c r="S25" s="17"/>
      <c r="T25" s="19"/>
    </row>
    <row r="26" spans="1:51" x14ac:dyDescent="0.25">
      <c r="A26" t="s">
        <v>51</v>
      </c>
      <c r="B26" t="s">
        <v>23</v>
      </c>
      <c r="C26" s="14">
        <v>0</v>
      </c>
      <c r="D26" t="s">
        <v>17</v>
      </c>
      <c r="E26" s="3" t="s">
        <v>17</v>
      </c>
      <c r="F26" s="6">
        <v>49</v>
      </c>
      <c r="G26" s="4" t="s">
        <v>17</v>
      </c>
      <c r="H26" s="2" t="s">
        <v>18</v>
      </c>
      <c r="I26" s="12" t="s">
        <v>20</v>
      </c>
      <c r="J26" t="s">
        <v>17</v>
      </c>
      <c r="K26" t="s">
        <v>18</v>
      </c>
      <c r="L26" t="s">
        <v>32</v>
      </c>
      <c r="M26" s="9">
        <v>59.6</v>
      </c>
      <c r="N26" s="8">
        <v>2970.3</v>
      </c>
      <c r="O26" t="s">
        <v>18</v>
      </c>
      <c r="P26">
        <f t="shared" ca="1" si="0"/>
        <v>553223</v>
      </c>
      <c r="Q26" s="16"/>
      <c r="R26" s="18"/>
      <c r="S26" s="17"/>
      <c r="T26" s="19"/>
      <c r="AQ26" t="s">
        <v>115</v>
      </c>
    </row>
    <row r="27" spans="1:51" ht="15.75" thickBot="1" x14ac:dyDescent="0.3">
      <c r="A27" t="s">
        <v>52</v>
      </c>
      <c r="B27" t="s">
        <v>16</v>
      </c>
      <c r="C27" s="14">
        <v>0</v>
      </c>
      <c r="D27" t="s">
        <v>18</v>
      </c>
      <c r="E27" s="3" t="s">
        <v>18</v>
      </c>
      <c r="F27" s="6">
        <v>30</v>
      </c>
      <c r="G27" s="4" t="s">
        <v>17</v>
      </c>
      <c r="H27" s="2" t="s">
        <v>18</v>
      </c>
      <c r="I27" s="12" t="s">
        <v>20</v>
      </c>
      <c r="J27" t="s">
        <v>17</v>
      </c>
      <c r="K27" t="s">
        <v>17</v>
      </c>
      <c r="L27" t="s">
        <v>27</v>
      </c>
      <c r="M27" s="9">
        <v>55.3</v>
      </c>
      <c r="N27" s="8">
        <v>1530.6</v>
      </c>
      <c r="O27" t="s">
        <v>18</v>
      </c>
      <c r="P27">
        <f t="shared" ca="1" si="0"/>
        <v>552509</v>
      </c>
      <c r="Q27" s="16"/>
      <c r="R27" s="18"/>
      <c r="S27" s="17"/>
      <c r="T27" s="19"/>
    </row>
    <row r="28" spans="1:51" x14ac:dyDescent="0.25">
      <c r="A28" t="s">
        <v>53</v>
      </c>
      <c r="B28" t="s">
        <v>23</v>
      </c>
      <c r="C28" s="14">
        <v>0</v>
      </c>
      <c r="D28" t="s">
        <v>17</v>
      </c>
      <c r="E28" s="3" t="s">
        <v>17</v>
      </c>
      <c r="F28" s="6">
        <v>47</v>
      </c>
      <c r="G28" s="4" t="s">
        <v>17</v>
      </c>
      <c r="H28" s="2" t="s">
        <v>17</v>
      </c>
      <c r="I28" s="12" t="s">
        <v>29</v>
      </c>
      <c r="J28" t="s">
        <v>18</v>
      </c>
      <c r="K28" t="s">
        <v>17</v>
      </c>
      <c r="L28" t="s">
        <v>21</v>
      </c>
      <c r="M28" s="9">
        <v>99.35</v>
      </c>
      <c r="N28" s="8">
        <v>4749.1499999999996</v>
      </c>
      <c r="O28" t="s">
        <v>17</v>
      </c>
      <c r="P28">
        <f t="shared" ca="1" si="0"/>
        <v>522056</v>
      </c>
      <c r="Q28" s="16"/>
      <c r="R28" s="18"/>
      <c r="S28" s="17"/>
      <c r="T28" s="19"/>
      <c r="AQ28" s="28" t="s">
        <v>116</v>
      </c>
      <c r="AR28" s="28" t="s">
        <v>117</v>
      </c>
      <c r="AS28" s="28" t="s">
        <v>118</v>
      </c>
      <c r="AT28" s="28" t="s">
        <v>119</v>
      </c>
    </row>
    <row r="29" spans="1:51" x14ac:dyDescent="0.25">
      <c r="A29" t="s">
        <v>54</v>
      </c>
      <c r="B29" t="s">
        <v>23</v>
      </c>
      <c r="C29" s="14">
        <v>0</v>
      </c>
      <c r="D29" t="s">
        <v>17</v>
      </c>
      <c r="E29" s="3" t="s">
        <v>17</v>
      </c>
      <c r="F29" s="6">
        <v>1</v>
      </c>
      <c r="G29" s="4" t="s">
        <v>18</v>
      </c>
      <c r="H29" s="2" t="s">
        <v>19</v>
      </c>
      <c r="I29" s="12" t="s">
        <v>20</v>
      </c>
      <c r="J29" t="s">
        <v>18</v>
      </c>
      <c r="K29" t="s">
        <v>18</v>
      </c>
      <c r="L29" t="s">
        <v>21</v>
      </c>
      <c r="M29" s="9">
        <v>30.2</v>
      </c>
      <c r="N29" s="8">
        <v>30.2</v>
      </c>
      <c r="O29" t="s">
        <v>17</v>
      </c>
      <c r="P29">
        <f t="shared" ca="1" si="0"/>
        <v>539927</v>
      </c>
      <c r="Q29" s="16"/>
      <c r="R29" s="18"/>
      <c r="S29" s="17"/>
      <c r="T29" s="19"/>
      <c r="AQ29" s="26">
        <v>1</v>
      </c>
      <c r="AR29" s="26">
        <v>42.135212126085136</v>
      </c>
      <c r="AS29" s="26">
        <v>-12.285212126085135</v>
      </c>
      <c r="AT29" s="26">
        <v>-0.58114423353376099</v>
      </c>
    </row>
    <row r="30" spans="1:51" x14ac:dyDescent="0.25">
      <c r="A30" t="s">
        <v>55</v>
      </c>
      <c r="B30" t="s">
        <v>23</v>
      </c>
      <c r="C30" s="14">
        <v>0</v>
      </c>
      <c r="D30" t="s">
        <v>17</v>
      </c>
      <c r="E30" s="3" t="s">
        <v>18</v>
      </c>
      <c r="F30" s="6">
        <v>72</v>
      </c>
      <c r="G30" s="4" t="s">
        <v>17</v>
      </c>
      <c r="H30" s="2" t="s">
        <v>17</v>
      </c>
      <c r="I30" s="12" t="s">
        <v>20</v>
      </c>
      <c r="J30" t="s">
        <v>17</v>
      </c>
      <c r="K30" t="s">
        <v>17</v>
      </c>
      <c r="L30" t="s">
        <v>32</v>
      </c>
      <c r="M30" s="9">
        <v>90.25</v>
      </c>
      <c r="N30" s="8">
        <v>6369.45</v>
      </c>
      <c r="O30" t="s">
        <v>18</v>
      </c>
      <c r="P30">
        <f t="shared" ca="1" si="0"/>
        <v>570005</v>
      </c>
      <c r="Q30" s="16"/>
      <c r="R30" s="18"/>
      <c r="S30" s="17"/>
      <c r="T30" s="19"/>
      <c r="AQ30" s="26">
        <v>2</v>
      </c>
      <c r="AR30" s="26">
        <v>60.6694305698976</v>
      </c>
      <c r="AS30" s="26">
        <v>-3.7194305698975967</v>
      </c>
      <c r="AT30" s="26">
        <v>-0.1759453239831017</v>
      </c>
    </row>
    <row r="31" spans="1:51" x14ac:dyDescent="0.25">
      <c r="I31" s="11"/>
      <c r="N31" s="7"/>
      <c r="Q31" s="13"/>
      <c r="T31" s="19"/>
      <c r="AQ31" s="26">
        <v>3</v>
      </c>
      <c r="AR31" s="26">
        <v>42.91558978002567</v>
      </c>
      <c r="AS31" s="26">
        <v>10.934410219974332</v>
      </c>
      <c r="AT31" s="26">
        <v>0.51724539887579879</v>
      </c>
    </row>
    <row r="32" spans="1:51" x14ac:dyDescent="0.25">
      <c r="AQ32" s="26">
        <v>4</v>
      </c>
      <c r="AR32" s="26">
        <v>60.183563256620445</v>
      </c>
      <c r="AS32" s="26">
        <v>-17.883563256620448</v>
      </c>
      <c r="AT32" s="26">
        <v>-0.84597071299680371</v>
      </c>
    </row>
    <row r="33" spans="7:46" ht="15.75" thickBot="1" x14ac:dyDescent="0.3">
      <c r="AQ33" s="26">
        <v>5</v>
      </c>
      <c r="AR33" s="26">
        <v>43.349132921103745</v>
      </c>
      <c r="AS33" s="26">
        <v>27.350867078896258</v>
      </c>
      <c r="AT33" s="26">
        <v>1.2938155663832283</v>
      </c>
    </row>
    <row r="34" spans="7:46" ht="18.75" x14ac:dyDescent="0.4">
      <c r="G34" s="20" t="s">
        <v>57</v>
      </c>
      <c r="H34" s="21" t="s">
        <v>58</v>
      </c>
      <c r="I34" s="21" t="s">
        <v>59</v>
      </c>
      <c r="J34" s="21" t="s">
        <v>60</v>
      </c>
      <c r="L34" s="28"/>
      <c r="M34" s="28" t="s">
        <v>61</v>
      </c>
      <c r="N34" s="28" t="s">
        <v>62</v>
      </c>
      <c r="AQ34" s="26">
        <v>6</v>
      </c>
      <c r="AR34" s="26">
        <v>50.015232459266286</v>
      </c>
      <c r="AS34" s="26">
        <v>49.634767540733719</v>
      </c>
      <c r="AT34" s="26">
        <v>2.3479414635291258</v>
      </c>
    </row>
    <row r="35" spans="7:46" ht="15.75" thickBot="1" x14ac:dyDescent="0.3">
      <c r="G35" s="22">
        <v>-65</v>
      </c>
      <c r="H35" s="23">
        <v>-65</v>
      </c>
      <c r="I35" s="24">
        <v>-65</v>
      </c>
      <c r="J35" s="25">
        <v>-65</v>
      </c>
      <c r="L35" s="26" t="s">
        <v>61</v>
      </c>
      <c r="M35" s="26">
        <v>1</v>
      </c>
      <c r="N35" s="26"/>
      <c r="AQ35" s="26">
        <v>7</v>
      </c>
      <c r="AR35" s="26">
        <v>61.266424458416601</v>
      </c>
      <c r="AS35" s="26">
        <v>27.833575541583393</v>
      </c>
      <c r="AT35" s="26">
        <v>1.3166497866384033</v>
      </c>
    </row>
    <row r="36" spans="7:46" ht="15.75" thickBot="1" x14ac:dyDescent="0.3">
      <c r="G36" s="22">
        <v>-45</v>
      </c>
      <c r="H36" s="23">
        <v>-45</v>
      </c>
      <c r="I36" s="24">
        <v>-45</v>
      </c>
      <c r="J36" s="25">
        <v>-45</v>
      </c>
      <c r="L36" s="27" t="s">
        <v>62</v>
      </c>
      <c r="M36" s="27">
        <v>0.74392650602795651</v>
      </c>
      <c r="N36" s="27">
        <v>1</v>
      </c>
      <c r="R36" s="29" t="s">
        <v>78</v>
      </c>
      <c r="S36" s="29" t="s">
        <v>79</v>
      </c>
      <c r="AQ36" s="26">
        <v>8</v>
      </c>
      <c r="AR36" s="26">
        <v>44.846600896896405</v>
      </c>
      <c r="AS36" s="26">
        <v>-15.096600896896405</v>
      </c>
      <c r="AT36" s="26">
        <v>-0.71413521127271673</v>
      </c>
    </row>
    <row r="37" spans="7:46" x14ac:dyDescent="0.25">
      <c r="G37" s="22">
        <v>81</v>
      </c>
      <c r="H37" s="23">
        <v>81</v>
      </c>
      <c r="I37" s="24">
        <v>81</v>
      </c>
      <c r="J37" s="25">
        <v>81</v>
      </c>
      <c r="R37" s="16">
        <v>2000</v>
      </c>
      <c r="S37">
        <v>18</v>
      </c>
      <c r="AD37" t="s">
        <v>81</v>
      </c>
      <c r="AQ37" s="26">
        <v>9</v>
      </c>
      <c r="AR37" s="26">
        <v>72.196196542629735</v>
      </c>
      <c r="AS37" s="26">
        <v>32.603803457370262</v>
      </c>
      <c r="AT37" s="26">
        <v>1.5423024182291212</v>
      </c>
    </row>
    <row r="38" spans="7:46" ht="15.75" thickBot="1" x14ac:dyDescent="0.3">
      <c r="G38" s="22">
        <v>61</v>
      </c>
      <c r="H38" s="23">
        <v>61</v>
      </c>
      <c r="I38" s="24">
        <v>61</v>
      </c>
      <c r="J38" s="25">
        <v>61</v>
      </c>
      <c r="R38" s="16">
        <v>3000</v>
      </c>
      <c r="S38">
        <v>0</v>
      </c>
      <c r="AQ38" s="26">
        <v>10</v>
      </c>
      <c r="AR38" s="26">
        <v>76.600396865443543</v>
      </c>
      <c r="AS38" s="26">
        <v>-20.450396865443544</v>
      </c>
      <c r="AT38" s="26">
        <v>-0.96739316259707353</v>
      </c>
    </row>
    <row r="39" spans="7:46" ht="15.75" thickBot="1" x14ac:dyDescent="0.3">
      <c r="G39" s="22">
        <v>0</v>
      </c>
      <c r="H39" s="23">
        <v>0</v>
      </c>
      <c r="I39" s="24">
        <v>0</v>
      </c>
      <c r="J39" s="25">
        <v>0</v>
      </c>
      <c r="L39" s="28" t="s">
        <v>63</v>
      </c>
      <c r="M39" s="28"/>
      <c r="N39" s="28" t="s">
        <v>64</v>
      </c>
      <c r="O39" s="28"/>
      <c r="R39" s="16">
        <v>5000</v>
      </c>
      <c r="S39">
        <v>6</v>
      </c>
      <c r="AD39" t="s">
        <v>82</v>
      </c>
      <c r="AQ39" s="26">
        <v>11</v>
      </c>
      <c r="AR39" s="26">
        <v>47.692537539076739</v>
      </c>
      <c r="AS39" s="26">
        <v>2.2574624609232643</v>
      </c>
      <c r="AT39" s="26">
        <v>0.10678784201038849</v>
      </c>
    </row>
    <row r="40" spans="7:46" x14ac:dyDescent="0.25">
      <c r="G40" s="22">
        <v>-89</v>
      </c>
      <c r="H40" s="23">
        <v>-89</v>
      </c>
      <c r="I40" s="24">
        <v>-89</v>
      </c>
      <c r="J40" s="25">
        <v>-89</v>
      </c>
      <c r="L40" s="26"/>
      <c r="M40" s="26"/>
      <c r="N40" s="26"/>
      <c r="O40" s="26"/>
      <c r="R40" s="16">
        <v>6000</v>
      </c>
      <c r="S40">
        <v>2</v>
      </c>
      <c r="AD40" s="28" t="s">
        <v>83</v>
      </c>
      <c r="AE40" s="28" t="s">
        <v>77</v>
      </c>
      <c r="AF40" s="28" t="s">
        <v>76</v>
      </c>
      <c r="AG40" s="28" t="s">
        <v>84</v>
      </c>
      <c r="AH40" s="28" t="s">
        <v>85</v>
      </c>
      <c r="AQ40" s="26">
        <v>12</v>
      </c>
      <c r="AR40" s="26">
        <v>45.09476697075489</v>
      </c>
      <c r="AS40" s="26">
        <v>-26.14476697075489</v>
      </c>
      <c r="AT40" s="26">
        <v>-1.2367617592761824</v>
      </c>
    </row>
    <row r="41" spans="7:46" x14ac:dyDescent="0.25">
      <c r="G41" s="22">
        <v>-92</v>
      </c>
      <c r="H41" s="23">
        <v>-92</v>
      </c>
      <c r="I41" s="24">
        <v>-92</v>
      </c>
      <c r="J41" s="25">
        <v>-92</v>
      </c>
      <c r="L41" s="26" t="s">
        <v>65</v>
      </c>
      <c r="M41" s="26">
        <v>64.537931034482767</v>
      </c>
      <c r="N41" s="26" t="s">
        <v>65</v>
      </c>
      <c r="O41" s="26">
        <v>2277.65</v>
      </c>
      <c r="R41" s="16">
        <v>8000</v>
      </c>
      <c r="S41">
        <v>3</v>
      </c>
      <c r="AD41" s="26" t="s">
        <v>61</v>
      </c>
      <c r="AE41" s="26">
        <v>29</v>
      </c>
      <c r="AF41" s="26">
        <v>1871.6000000000004</v>
      </c>
      <c r="AG41" s="26">
        <v>64.537931034482767</v>
      </c>
      <c r="AH41" s="26">
        <v>1000.701724137929</v>
      </c>
      <c r="AQ41" s="26">
        <v>13</v>
      </c>
      <c r="AR41" s="26">
        <v>98.458446057521257</v>
      </c>
      <c r="AS41" s="26">
        <v>1.8915539424787369</v>
      </c>
      <c r="AT41" s="26">
        <v>8.9478769662878155E-2</v>
      </c>
    </row>
    <row r="42" spans="7:46" ht="15.75" thickBot="1" x14ac:dyDescent="0.3">
      <c r="G42" s="22">
        <v>-96</v>
      </c>
      <c r="H42" s="23">
        <v>-96</v>
      </c>
      <c r="I42" s="24">
        <v>-96</v>
      </c>
      <c r="J42" s="25">
        <v>-96</v>
      </c>
      <c r="L42" s="26" t="s">
        <v>66</v>
      </c>
      <c r="M42" s="26">
        <v>5.8742621668390127</v>
      </c>
      <c r="N42" s="26" t="s">
        <v>66</v>
      </c>
      <c r="O42" s="26">
        <v>438.47041461776399</v>
      </c>
      <c r="R42" s="30" t="s">
        <v>80</v>
      </c>
      <c r="S42" s="30">
        <v>0</v>
      </c>
      <c r="AD42" s="27" t="s">
        <v>62</v>
      </c>
      <c r="AE42" s="27">
        <v>29</v>
      </c>
      <c r="AF42" s="27">
        <v>66051.850000000006</v>
      </c>
      <c r="AG42" s="27">
        <v>2277.65</v>
      </c>
      <c r="AH42" s="27">
        <v>5575432.8303571409</v>
      </c>
      <c r="AQ42" s="26">
        <v>14</v>
      </c>
      <c r="AR42" s="26">
        <v>92.032041060575438</v>
      </c>
      <c r="AS42" s="26">
        <v>11.667958939424565</v>
      </c>
      <c r="AT42" s="26">
        <v>0.55194545972533204</v>
      </c>
    </row>
    <row r="43" spans="7:46" x14ac:dyDescent="0.25">
      <c r="G43" s="22">
        <v>-69</v>
      </c>
      <c r="H43" s="23">
        <v>-69</v>
      </c>
      <c r="I43" s="24">
        <v>-69</v>
      </c>
      <c r="J43" s="25">
        <v>-69</v>
      </c>
      <c r="L43" s="26" t="s">
        <v>67</v>
      </c>
      <c r="M43" s="26">
        <v>56.95</v>
      </c>
      <c r="N43" s="26" t="s">
        <v>67</v>
      </c>
      <c r="O43" s="26">
        <v>1840.75</v>
      </c>
      <c r="AQ43" s="26">
        <v>15</v>
      </c>
      <c r="AR43" s="26">
        <v>68.608253306121526</v>
      </c>
      <c r="AS43" s="26">
        <v>36.891746693878474</v>
      </c>
      <c r="AT43" s="26">
        <v>1.7451408763722875</v>
      </c>
    </row>
    <row r="44" spans="7:46" x14ac:dyDescent="0.25">
      <c r="G44" s="22">
        <v>-88</v>
      </c>
      <c r="H44" s="23">
        <v>-88</v>
      </c>
      <c r="I44" s="24">
        <v>-88</v>
      </c>
      <c r="J44" s="25">
        <v>-88</v>
      </c>
      <c r="L44" s="26" t="s">
        <v>68</v>
      </c>
      <c r="M44" s="26" t="e">
        <v>#N/A</v>
      </c>
      <c r="N44" s="26" t="s">
        <v>68</v>
      </c>
      <c r="O44" s="26" t="e">
        <v>#N/A</v>
      </c>
      <c r="AQ44" s="26">
        <v>16</v>
      </c>
      <c r="AR44" s="26">
        <v>120.52479528749623</v>
      </c>
      <c r="AS44" s="26">
        <v>-7.2747952874962323</v>
      </c>
      <c r="AT44" s="26">
        <v>-0.34412961600315772</v>
      </c>
    </row>
    <row r="45" spans="7:46" ht="15.75" thickBot="1" x14ac:dyDescent="0.3">
      <c r="G45" s="22">
        <v>31</v>
      </c>
      <c r="H45" s="23">
        <v>31</v>
      </c>
      <c r="I45" s="24">
        <v>31</v>
      </c>
      <c r="J45" s="25">
        <v>31</v>
      </c>
      <c r="L45" s="26" t="s">
        <v>69</v>
      </c>
      <c r="M45" s="26">
        <v>31.633869888743124</v>
      </c>
      <c r="N45" s="26" t="s">
        <v>69</v>
      </c>
      <c r="O45" s="26">
        <v>2361.2354457692568</v>
      </c>
      <c r="AD45" t="s">
        <v>86</v>
      </c>
      <c r="AQ45" s="26">
        <v>17</v>
      </c>
      <c r="AR45" s="26">
        <v>52.03295220435264</v>
      </c>
      <c r="AS45" s="26">
        <v>-31.382952204352641</v>
      </c>
      <c r="AT45" s="26">
        <v>-1.4845508174906041</v>
      </c>
    </row>
    <row r="46" spans="7:46" x14ac:dyDescent="0.25">
      <c r="G46" s="22">
        <v>0</v>
      </c>
      <c r="H46" s="23">
        <v>0</v>
      </c>
      <c r="I46" s="24">
        <v>0</v>
      </c>
      <c r="J46" s="25">
        <v>0</v>
      </c>
      <c r="L46" s="26" t="s">
        <v>70</v>
      </c>
      <c r="M46" s="26">
        <v>1000.701724137929</v>
      </c>
      <c r="N46" s="26" t="s">
        <v>70</v>
      </c>
      <c r="O46" s="26">
        <v>5575432.8303571409</v>
      </c>
      <c r="AD46" s="28" t="s">
        <v>87</v>
      </c>
      <c r="AE46" s="28" t="s">
        <v>88</v>
      </c>
      <c r="AF46" s="28" t="s">
        <v>89</v>
      </c>
      <c r="AG46" s="28" t="s">
        <v>90</v>
      </c>
      <c r="AH46" s="28" t="s">
        <v>91</v>
      </c>
      <c r="AI46" s="28" t="s">
        <v>92</v>
      </c>
      <c r="AJ46" s="28" t="s">
        <v>93</v>
      </c>
      <c r="AQ46" s="26">
        <v>18</v>
      </c>
      <c r="AR46" s="26">
        <v>115.41297282637107</v>
      </c>
      <c r="AS46" s="26">
        <v>-8.7129728263710717</v>
      </c>
      <c r="AT46" s="26">
        <v>-0.41216170001905056</v>
      </c>
    </row>
    <row r="47" spans="7:46" x14ac:dyDescent="0.25">
      <c r="G47" s="22">
        <v>-7</v>
      </c>
      <c r="H47" s="23">
        <v>-7</v>
      </c>
      <c r="I47" s="24">
        <v>-7</v>
      </c>
      <c r="J47" s="25">
        <v>-7</v>
      </c>
      <c r="L47" s="26" t="s">
        <v>71</v>
      </c>
      <c r="M47" s="26">
        <v>-1.4332486796402131</v>
      </c>
      <c r="N47" s="26" t="s">
        <v>71</v>
      </c>
      <c r="O47" s="26">
        <v>7.7361174501715091E-2</v>
      </c>
      <c r="AD47" s="26" t="s">
        <v>94</v>
      </c>
      <c r="AE47" s="26">
        <v>71019042.932112128</v>
      </c>
      <c r="AF47" s="26">
        <v>1</v>
      </c>
      <c r="AG47" s="26">
        <v>71019042.932112128</v>
      </c>
      <c r="AH47" s="26">
        <v>25.471134022682723</v>
      </c>
      <c r="AI47" s="26">
        <v>5.0625423648206887E-6</v>
      </c>
      <c r="AJ47" s="26">
        <v>4.0129733776501437</v>
      </c>
      <c r="AQ47" s="26">
        <v>19</v>
      </c>
      <c r="AR47" s="26">
        <v>47.103516857749973</v>
      </c>
      <c r="AS47" s="26">
        <v>8.0964831422500296</v>
      </c>
      <c r="AT47" s="26">
        <v>0.38299904321809214</v>
      </c>
    </row>
    <row r="48" spans="7:46" x14ac:dyDescent="0.25">
      <c r="G48" s="22">
        <v>41</v>
      </c>
      <c r="H48" s="23">
        <v>41</v>
      </c>
      <c r="I48" s="24">
        <v>41</v>
      </c>
      <c r="J48" s="25">
        <v>41</v>
      </c>
      <c r="L48" s="26" t="s">
        <v>72</v>
      </c>
      <c r="M48" s="26">
        <v>6.1149176807873219E-2</v>
      </c>
      <c r="N48" s="26" t="s">
        <v>72</v>
      </c>
      <c r="O48" s="26">
        <v>1.0301417506403849</v>
      </c>
      <c r="AD48" s="26" t="s">
        <v>95</v>
      </c>
      <c r="AE48" s="26">
        <v>156140138.89827582</v>
      </c>
      <c r="AF48" s="26">
        <v>56</v>
      </c>
      <c r="AG48" s="26">
        <v>2788216.7660406395</v>
      </c>
      <c r="AH48" s="26"/>
      <c r="AI48" s="26"/>
      <c r="AJ48" s="26"/>
      <c r="AQ48" s="26">
        <v>20</v>
      </c>
      <c r="AR48" s="26">
        <v>60.404321430755601</v>
      </c>
      <c r="AS48" s="26">
        <v>29.645678569244396</v>
      </c>
      <c r="AT48" s="26">
        <v>1.4023701807419966</v>
      </c>
    </row>
    <row r="49" spans="7:46" x14ac:dyDescent="0.25">
      <c r="G49" s="22">
        <v>-67</v>
      </c>
      <c r="H49" s="23">
        <v>-67</v>
      </c>
      <c r="I49" s="24">
        <v>-67</v>
      </c>
      <c r="J49" s="25">
        <v>-67</v>
      </c>
      <c r="L49" s="26" t="s">
        <v>73</v>
      </c>
      <c r="M49" s="26">
        <v>94.3</v>
      </c>
      <c r="N49" s="26" t="s">
        <v>73</v>
      </c>
      <c r="O49" s="26">
        <v>7875</v>
      </c>
      <c r="AD49" s="26"/>
      <c r="AE49" s="26"/>
      <c r="AF49" s="26"/>
      <c r="AG49" s="26"/>
      <c r="AH49" s="26"/>
      <c r="AI49" s="26"/>
      <c r="AJ49" s="26"/>
      <c r="AQ49" s="26">
        <v>21</v>
      </c>
      <c r="AR49" s="26">
        <v>42.232883914190083</v>
      </c>
      <c r="AS49" s="26">
        <v>-2.5828839141900843</v>
      </c>
      <c r="AT49" s="26">
        <v>-0.12218169920172163</v>
      </c>
    </row>
    <row r="50" spans="7:46" ht="15.75" thickBot="1" x14ac:dyDescent="0.3">
      <c r="G50" s="22">
        <v>52</v>
      </c>
      <c r="H50" s="23">
        <v>52</v>
      </c>
      <c r="I50" s="24">
        <v>52</v>
      </c>
      <c r="J50" s="25">
        <v>52</v>
      </c>
      <c r="L50" s="26" t="s">
        <v>74</v>
      </c>
      <c r="M50" s="26">
        <v>18.95</v>
      </c>
      <c r="N50" s="26" t="s">
        <v>74</v>
      </c>
      <c r="O50" s="26">
        <v>20.149999999999999</v>
      </c>
      <c r="AD50" s="27" t="s">
        <v>96</v>
      </c>
      <c r="AE50" s="27">
        <v>227159181.83038795</v>
      </c>
      <c r="AF50" s="27">
        <v>57</v>
      </c>
      <c r="AG50" s="27"/>
      <c r="AH50" s="27"/>
      <c r="AI50" s="27"/>
      <c r="AJ50" s="27"/>
      <c r="AQ50" s="26">
        <v>22</v>
      </c>
      <c r="AR50" s="26">
        <v>43.853438276012959</v>
      </c>
      <c r="AS50" s="26">
        <v>-24.053438276012958</v>
      </c>
      <c r="AT50" s="26">
        <v>-1.1378327705945475</v>
      </c>
    </row>
    <row r="51" spans="7:46" x14ac:dyDescent="0.25">
      <c r="G51" s="22">
        <v>-56</v>
      </c>
      <c r="H51" s="23">
        <v>-56</v>
      </c>
      <c r="I51" s="24">
        <v>-56</v>
      </c>
      <c r="J51" s="25">
        <v>-56</v>
      </c>
      <c r="L51" s="26" t="s">
        <v>75</v>
      </c>
      <c r="M51" s="26">
        <v>113.25</v>
      </c>
      <c r="N51" s="26" t="s">
        <v>75</v>
      </c>
      <c r="O51" s="26">
        <v>7895.15</v>
      </c>
      <c r="R51" s="9"/>
      <c r="AQ51" s="26">
        <v>23</v>
      </c>
      <c r="AR51" s="26">
        <v>42.038536988879223</v>
      </c>
      <c r="AS51" s="26">
        <v>-21.888536988879224</v>
      </c>
      <c r="AT51" s="26">
        <v>-1.0354234766991472</v>
      </c>
    </row>
    <row r="52" spans="7:46" x14ac:dyDescent="0.25">
      <c r="G52" s="22">
        <v>-20</v>
      </c>
      <c r="H52" s="23">
        <v>-20</v>
      </c>
      <c r="I52" s="24">
        <v>-20</v>
      </c>
      <c r="J52" s="25">
        <v>-20</v>
      </c>
      <c r="L52" s="26" t="s">
        <v>76</v>
      </c>
      <c r="M52" s="26">
        <v>1871.6000000000004</v>
      </c>
      <c r="N52" s="26" t="s">
        <v>76</v>
      </c>
      <c r="O52" s="26">
        <v>66051.850000000006</v>
      </c>
      <c r="R52" s="9"/>
      <c r="AQ52" s="26">
        <v>24</v>
      </c>
      <c r="AR52" s="26">
        <v>76.771322494627199</v>
      </c>
      <c r="AS52" s="26">
        <v>-16.871322494627201</v>
      </c>
      <c r="AT52" s="26">
        <v>-0.79808730034240194</v>
      </c>
    </row>
    <row r="53" spans="7:46" ht="15.75" thickBot="1" x14ac:dyDescent="0.3">
      <c r="G53" s="22">
        <v>-22</v>
      </c>
      <c r="H53" s="23">
        <v>-22</v>
      </c>
      <c r="I53" s="24">
        <v>-22</v>
      </c>
      <c r="J53" s="25">
        <v>-22</v>
      </c>
      <c r="L53" s="27" t="s">
        <v>77</v>
      </c>
      <c r="M53" s="27">
        <v>29</v>
      </c>
      <c r="N53" s="27" t="s">
        <v>77</v>
      </c>
      <c r="O53" s="27">
        <v>29</v>
      </c>
      <c r="R53" s="9"/>
      <c r="AQ53" s="26">
        <v>25</v>
      </c>
      <c r="AR53" s="26">
        <v>71.441233486614465</v>
      </c>
      <c r="AS53" s="26">
        <v>-11.841233486614463</v>
      </c>
      <c r="AT53" s="26">
        <v>-0.56014210320890467</v>
      </c>
    </row>
    <row r="54" spans="7:46" x14ac:dyDescent="0.25">
      <c r="R54" s="9"/>
      <c r="AQ54" s="26">
        <v>26</v>
      </c>
      <c r="AR54" s="26">
        <v>57.092450493278719</v>
      </c>
      <c r="AS54" s="26">
        <v>-1.7924504932787215</v>
      </c>
      <c r="AT54" s="26">
        <v>-8.4790743323991655E-2</v>
      </c>
    </row>
    <row r="55" spans="7:46" x14ac:dyDescent="0.25">
      <c r="R55" s="9"/>
      <c r="AQ55" s="26">
        <v>27</v>
      </c>
      <c r="AR55" s="26">
        <v>89.170158004010631</v>
      </c>
      <c r="AS55" s="26">
        <v>10.179841995989364</v>
      </c>
      <c r="AT55" s="26">
        <v>0.48155102358328084</v>
      </c>
    </row>
    <row r="56" spans="7:46" x14ac:dyDescent="0.25">
      <c r="R56" s="9"/>
      <c r="AQ56" s="26">
        <v>28</v>
      </c>
      <c r="AR56" s="26">
        <v>42.138700404231741</v>
      </c>
      <c r="AS56" s="26">
        <v>-11.938700404231742</v>
      </c>
      <c r="AT56" s="26">
        <v>-0.56475271445047392</v>
      </c>
    </row>
    <row r="57" spans="7:46" ht="15.75" thickBot="1" x14ac:dyDescent="0.3">
      <c r="R57" s="9"/>
      <c r="AQ57" s="27">
        <v>29</v>
      </c>
      <c r="AR57" s="27">
        <v>105.31889252099465</v>
      </c>
      <c r="AS57" s="27">
        <v>-15.068892520994652</v>
      </c>
      <c r="AT57" s="27">
        <v>-0.71282448397630327</v>
      </c>
    </row>
    <row r="58" spans="7:46" x14ac:dyDescent="0.25">
      <c r="R58" s="9"/>
    </row>
    <row r="59" spans="7:46" x14ac:dyDescent="0.25">
      <c r="R59" s="9"/>
    </row>
    <row r="60" spans="7:46" x14ac:dyDescent="0.25">
      <c r="R60" s="9"/>
    </row>
    <row r="61" spans="7:46" x14ac:dyDescent="0.25">
      <c r="R61" s="9"/>
    </row>
    <row r="62" spans="7:46" x14ac:dyDescent="0.25">
      <c r="R62" s="9"/>
    </row>
    <row r="63" spans="7:46" x14ac:dyDescent="0.25">
      <c r="R63" s="9"/>
    </row>
    <row r="64" spans="7:46" ht="15.75" thickBot="1" x14ac:dyDescent="0.3">
      <c r="R64" s="30"/>
      <c r="S64" s="30"/>
    </row>
  </sheetData>
  <conditionalFormatting sqref="B2:B30">
    <cfRule type="cellIs" dxfId="0" priority="2" operator="equal">
      <formula>"male"</formula>
    </cfRule>
  </conditionalFormatting>
  <conditionalFormatting sqref="M2:M30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2:N3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{F773540C-768C-45F3-BB1F-773581EF787C}</x14:id>
        </ext>
      </extLst>
    </cfRule>
    <cfRule type="iconSet" priority="3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73540C-768C-45F3-BB1F-773581EF78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N2:N30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Sheet5</vt:lpstr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2026-06-04T04:42:35Z</dcterms:created>
  <dcterms:modified xsi:type="dcterms:W3CDTF">2026-06-05T06:34:14Z</dcterms:modified>
</cp:coreProperties>
</file>