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29B0F9C2-DE58-46C9-A95D-4CB3F359BDEB}" xr6:coauthVersionLast="47" xr6:coauthVersionMax="47" xr10:uidLastSave="{00000000-0000-0000-0000-000000000000}"/>
  <bookViews>
    <workbookView xWindow="-120" yWindow="-120" windowWidth="29040" windowHeight="15720" xr2:uid="{AD868006-FA85-43A3-A533-755272B191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1" i="1" l="1"/>
  <c r="H40" i="1"/>
  <c r="H39" i="1"/>
  <c r="H38" i="1"/>
  <c r="H37" i="1"/>
  <c r="K36" i="1"/>
  <c r="P24" i="1"/>
  <c r="P30" i="1"/>
  <c r="P5" i="1"/>
  <c r="P22" i="1"/>
  <c r="P31" i="1"/>
  <c r="P12" i="1"/>
  <c r="P10" i="1"/>
  <c r="P28" i="1"/>
  <c r="P9" i="1"/>
  <c r="P25" i="1"/>
  <c r="P26" i="1"/>
  <c r="P8" i="1"/>
  <c r="P2" i="1"/>
  <c r="P15" i="1"/>
  <c r="P21" i="1"/>
</calcChain>
</file>

<file path=xl/sharedStrings.xml><?xml version="1.0" encoding="utf-8"?>
<sst xmlns="http://schemas.openxmlformats.org/spreadsheetml/2006/main" count="186" uniqueCount="84">
  <si>
    <t>Quantity</t>
  </si>
  <si>
    <t>CustomerID</t>
  </si>
  <si>
    <t>TransactionID</t>
  </si>
  <si>
    <t>ProductID</t>
  </si>
  <si>
    <t>ProductCategory</t>
  </si>
  <si>
    <t>PaymentMethod</t>
  </si>
  <si>
    <t>Price</t>
  </si>
  <si>
    <t>Discount</t>
  </si>
  <si>
    <t>TransactionDate</t>
  </si>
  <si>
    <t>CustomerLocation</t>
  </si>
  <si>
    <t>CustomerAge</t>
  </si>
  <si>
    <t>CustomerGender</t>
  </si>
  <si>
    <t>CustomerIncomeGroup</t>
  </si>
  <si>
    <t>CustomerLoyaltyScore</t>
  </si>
  <si>
    <t>encode</t>
  </si>
  <si>
    <t>Clothing</t>
  </si>
  <si>
    <t>Cash on Delivery</t>
  </si>
  <si>
    <t>New Juan</t>
  </si>
  <si>
    <t>Female</t>
  </si>
  <si>
    <t>Medium</t>
  </si>
  <si>
    <t>Beauty</t>
  </si>
  <si>
    <t>Debit Card</t>
  </si>
  <si>
    <t>South Julie</t>
  </si>
  <si>
    <t>Other</t>
  </si>
  <si>
    <t>High</t>
  </si>
  <si>
    <t>Toys</t>
  </si>
  <si>
    <t>West Carrieview</t>
  </si>
  <si>
    <t>Bank Transfer</t>
  </si>
  <si>
    <t>Christianberg</t>
  </si>
  <si>
    <t>Low</t>
  </si>
  <si>
    <t>Electronics</t>
  </si>
  <si>
    <t>South Williamhaven</t>
  </si>
  <si>
    <t>Books</t>
  </si>
  <si>
    <t>Stephenfort</t>
  </si>
  <si>
    <t>Male</t>
  </si>
  <si>
    <t>Credit Card</t>
  </si>
  <si>
    <t>North Terristad</t>
  </si>
  <si>
    <t>Sports</t>
  </si>
  <si>
    <t>Pachecotown</t>
  </si>
  <si>
    <t>Port Philipberg</t>
  </si>
  <si>
    <t>Jenniferfurt</t>
  </si>
  <si>
    <t>Lake Carolyn</t>
  </si>
  <si>
    <t>Amandaborough</t>
  </si>
  <si>
    <t>South Maria</t>
  </si>
  <si>
    <t>Home &amp; Kitchen</t>
  </si>
  <si>
    <t>West Marissa</t>
  </si>
  <si>
    <t>Austinburgh</t>
  </si>
  <si>
    <t>Lake Jesse</t>
  </si>
  <si>
    <t>Marioburgh</t>
  </si>
  <si>
    <t>PayPal</t>
  </si>
  <si>
    <t>Ryanhaven</t>
  </si>
  <si>
    <t>Dickersonmouth</t>
  </si>
  <si>
    <t>Annaborough</t>
  </si>
  <si>
    <t>Ramirezburgh</t>
  </si>
  <si>
    <t>Sextonberg</t>
  </si>
  <si>
    <t>Beasleyshire</t>
  </si>
  <si>
    <t>Lake Brittneyland</t>
  </si>
  <si>
    <t>South John</t>
  </si>
  <si>
    <t>New Devin</t>
  </si>
  <si>
    <t>Lake Denise</t>
  </si>
  <si>
    <t>South Susan</t>
  </si>
  <si>
    <t>Johnsonchester</t>
  </si>
  <si>
    <t>Martinberg</t>
  </si>
  <si>
    <t>2/108,pedda cheppali,kamalapuram,kadapa,Ap,inda</t>
  </si>
  <si>
    <t>sai</t>
  </si>
  <si>
    <t>thilak</t>
  </si>
  <si>
    <t>Column3</t>
  </si>
  <si>
    <t>Column4</t>
  </si>
  <si>
    <t>Column12</t>
  </si>
  <si>
    <t>Column23</t>
  </si>
  <si>
    <t>Time</t>
  </si>
  <si>
    <t xml:space="preserve">student </t>
  </si>
  <si>
    <t>sem1</t>
  </si>
  <si>
    <t>sem2</t>
  </si>
  <si>
    <t>sem3</t>
  </si>
  <si>
    <t>sem4</t>
  </si>
  <si>
    <t>A</t>
  </si>
  <si>
    <t>B</t>
  </si>
  <si>
    <t>C</t>
  </si>
  <si>
    <t>D</t>
  </si>
  <si>
    <t>E</t>
  </si>
  <si>
    <t>overall score</t>
  </si>
  <si>
    <t>capstone</t>
  </si>
  <si>
    <t>what-if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</si>
</sst>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21" fontId="0" fillId="0" borderId="0" xfId="0" applyNumberFormat="1" applyAlignment="1">
      <alignment horizontal="center"/>
    </xf>
  </cellXfs>
  <cellStyles count="1">
    <cellStyle name="Normal" xfId="0" builtinId="0"/>
  </cellStyles>
  <dxfs count="2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5E5B3B-CD5F-4702-AB27-632588DEB7F0}" name="Table3" displayName="Table3" ref="A1:T31" totalsRowShown="0" dataDxfId="12">
  <sortState xmlns:xlrd2="http://schemas.microsoft.com/office/spreadsheetml/2017/richdata2" ref="A2:T31">
    <sortCondition ref="K1:K31"/>
  </sortState>
  <tableColumns count="20">
    <tableColumn id="1" xr3:uid="{599F78AE-12F6-49FE-80DD-1BF25AB6F85B}" name="TransactionID" dataDxfId="20"/>
    <tableColumn id="2" xr3:uid="{327E524E-5E46-497D-854C-FA64265F48C6}" name="CustomerID" dataDxfId="19"/>
    <tableColumn id="3" xr3:uid="{641A29A8-32AD-48E2-99E4-109F69186A4A}" name="ProductID" dataDxfId="18"/>
    <tableColumn id="4" xr3:uid="{3F8B5B04-15E1-4229-8A83-092C015E4D03}" name="ProductCategory" dataDxfId="17"/>
    <tableColumn id="5" xr3:uid="{C09A6223-BDA7-4A6D-82A8-D21A9CE0D32F}" name="PaymentMethod" dataDxfId="16"/>
    <tableColumn id="6" xr3:uid="{52D2D9D7-FA66-43FB-92B7-DA4A61CF7C22}" name="Price" dataDxfId="15"/>
    <tableColumn id="7" xr3:uid="{BC3F3B82-83E1-41FC-8782-75062E6B9A4B}" name="Discount" dataDxfId="14"/>
    <tableColumn id="8" xr3:uid="{9DDBB28B-F2C7-4D9C-97E9-0D9CB39F8C75}" name="TransactionDate" dataDxfId="13"/>
    <tableColumn id="10" xr3:uid="{40796928-B7F9-4BD3-80F4-ACEE95DB08C7}" name="Time" dataDxfId="11"/>
    <tableColumn id="12" xr3:uid="{4514EF18-782E-4496-B3FD-A5B1D2E53CFC}" name="CustomerLocation" dataDxfId="10"/>
    <tableColumn id="13" xr3:uid="{7531B45E-1CF4-4F8E-83B4-1D26CDE8B6FC}" name="CustomerAge" dataDxfId="0"/>
    <tableColumn id="14" xr3:uid="{DE86A6C8-04A7-465A-A250-A7F07A9348F3}" name="CustomerGender" dataDxfId="9"/>
    <tableColumn id="15" xr3:uid="{D15FC6B0-EF73-4B4D-8303-438694B37698}" name="CustomerIncomeGroup" dataDxfId="8"/>
    <tableColumn id="16" xr3:uid="{1B96402B-4AF7-4DC2-AD25-D387665FBEF3}" name="CustomerLoyaltyScore" dataDxfId="7"/>
    <tableColumn id="9" xr3:uid="{BF442F53-1E23-4C6C-9EE4-75BF36DF5248}" name="Quantity" dataDxfId="6"/>
    <tableColumn id="17" xr3:uid="{EAF8470B-0B2B-4358-BB46-C34BD843BF24}" name="encode" dataDxfId="5"/>
    <tableColumn id="18" xr3:uid="{D96C1E64-C22C-4FDF-8157-D23AF6D76601}" name="Column12" dataDxfId="4"/>
    <tableColumn id="19" xr3:uid="{D5322DE3-D7F1-4725-B4F6-B7B57573EA04}" name="Column23" dataDxfId="3"/>
    <tableColumn id="20" xr3:uid="{D7DFE4C7-57EC-4B5D-90BA-EBC1F2601F1A}" name="Column3" dataDxfId="2"/>
    <tableColumn id="21" xr3:uid="{F1309F12-1650-41A7-9A98-72B837E9D113}" name="Column4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4CA5381-E240-458E-9FC3-10C5DA2DF9AC}" name="Table245" displayName="Table245" ref="B36:H41" totalsRowShown="0">
  <tableColumns count="7">
    <tableColumn id="1" xr3:uid="{F33DCE4E-26BA-448B-B9EE-8BD0540D1726}" name="student "/>
    <tableColumn id="2" xr3:uid="{8BF6C3F6-B266-4F32-A598-CD987CD933A8}" name="sem1"/>
    <tableColumn id="3" xr3:uid="{D6C1DD79-8C82-4B52-B8C8-D0C8C7B76371}" name="sem2"/>
    <tableColumn id="4" xr3:uid="{FF3411FB-C893-4A61-B543-C3EBC6927F15}" name="sem3"/>
    <tableColumn id="5" xr3:uid="{6042196E-1354-44A2-8DA6-E2562835242E}" name="sem4"/>
    <tableColumn id="6" xr3:uid="{5528867C-D5CE-47CA-9317-8B99763787BA}" name="capstone"/>
    <tableColumn id="7" xr3:uid="{8646BCD5-AEA7-47AA-84AB-BF404F418A68}" name="overall score">
      <calculatedColumnFormula>AVERAGE(Table245[[#This Row],[sem1]:[capstone]])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A2EC-93C3-463B-A68F-DC7FAFCF1FF3}">
  <dimension ref="A1:T41"/>
  <sheetViews>
    <sheetView tabSelected="1" topLeftCell="A25" workbookViewId="0">
      <selection activeCell="I52" sqref="I52"/>
    </sheetView>
  </sheetViews>
  <sheetFormatPr defaultRowHeight="15" x14ac:dyDescent="0.25"/>
  <cols>
    <col min="1" max="1" width="13.140625" bestFit="1" customWidth="1"/>
    <col min="2" max="2" width="11.42578125" bestFit="1" customWidth="1"/>
    <col min="3" max="3" width="9.7109375" bestFit="1" customWidth="1"/>
    <col min="4" max="4" width="15.85546875" bestFit="1" customWidth="1"/>
    <col min="5" max="5" width="16.140625" bestFit="1" customWidth="1"/>
    <col min="6" max="7" width="10.28515625" bestFit="1" customWidth="1"/>
    <col min="8" max="8" width="15.5703125" bestFit="1" customWidth="1"/>
    <col min="9" max="9" width="10.28515625" bestFit="1" customWidth="1"/>
    <col min="10" max="10" width="19.140625" bestFit="1" customWidth="1"/>
    <col min="11" max="11" width="16.85546875" bestFit="1" customWidth="1"/>
    <col min="12" max="12" width="16.42578125" bestFit="1" customWidth="1"/>
    <col min="13" max="13" width="22.140625" bestFit="1" customWidth="1"/>
    <col min="14" max="14" width="21" bestFit="1" customWidth="1"/>
    <col min="15" max="15" width="8.7109375" bestFit="1" customWidth="1"/>
    <col min="16" max="16" width="8.42578125" bestFit="1" customWidth="1"/>
    <col min="17" max="18" width="9.85546875" bestFit="1" customWidth="1"/>
    <col min="19" max="20" width="8.85546875" bestFit="1" customWidth="1"/>
  </cols>
  <sheetData>
    <row r="1" spans="1:20" x14ac:dyDescent="0.25">
      <c r="A1" t="s">
        <v>2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s="1" t="s">
        <v>70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0</v>
      </c>
      <c r="P1" s="1" t="s">
        <v>14</v>
      </c>
      <c r="Q1" s="1" t="s">
        <v>68</v>
      </c>
      <c r="R1" s="1" t="s">
        <v>69</v>
      </c>
      <c r="S1" s="1" t="s">
        <v>66</v>
      </c>
      <c r="T1" s="1" t="s">
        <v>67</v>
      </c>
    </row>
    <row r="2" spans="1:20" x14ac:dyDescent="0.25">
      <c r="A2" s="1">
        <v>15</v>
      </c>
      <c r="B2" s="1">
        <v>6311</v>
      </c>
      <c r="C2" s="1">
        <v>239</v>
      </c>
      <c r="D2" s="1" t="s">
        <v>25</v>
      </c>
      <c r="E2" s="1" t="s">
        <v>16</v>
      </c>
      <c r="F2" s="1">
        <v>29.01</v>
      </c>
      <c r="G2" s="1">
        <v>0.26</v>
      </c>
      <c r="H2" s="2">
        <v>45352</v>
      </c>
      <c r="I2" s="4">
        <v>0.74236111111111114</v>
      </c>
      <c r="J2" s="1" t="s">
        <v>46</v>
      </c>
      <c r="K2" s="1">
        <v>20</v>
      </c>
      <c r="L2" s="1" t="s">
        <v>23</v>
      </c>
      <c r="M2" s="1" t="s">
        <v>24</v>
      </c>
      <c r="N2" s="1">
        <v>10.33</v>
      </c>
      <c r="O2" s="1">
        <v>3</v>
      </c>
      <c r="P2" s="1" t="e">
        <f>Table3[[#This Row],[CustomerIncomeGroup]]/0</f>
        <v>#VALUE!</v>
      </c>
      <c r="Q2" s="1"/>
      <c r="R2" s="1"/>
      <c r="S2" s="1"/>
      <c r="T2" s="1"/>
    </row>
    <row r="3" spans="1:20" x14ac:dyDescent="0.25">
      <c r="A3" s="1">
        <v>17</v>
      </c>
      <c r="B3" s="1">
        <v>7420</v>
      </c>
      <c r="C3" s="1">
        <v>868</v>
      </c>
      <c r="D3" s="1" t="s">
        <v>20</v>
      </c>
      <c r="E3" s="1" t="s">
        <v>35</v>
      </c>
      <c r="F3" s="1">
        <v>218.68</v>
      </c>
      <c r="G3" s="1">
        <v>0.19</v>
      </c>
      <c r="H3" s="2">
        <v>45497</v>
      </c>
      <c r="I3" s="4">
        <v>0.36736111111111114</v>
      </c>
      <c r="J3" s="1" t="s">
        <v>48</v>
      </c>
      <c r="K3" s="1">
        <v>21</v>
      </c>
      <c r="L3" s="1" t="s">
        <v>23</v>
      </c>
      <c r="M3" s="1" t="s">
        <v>19</v>
      </c>
      <c r="N3" s="1">
        <v>9.93</v>
      </c>
      <c r="O3" s="1">
        <v>4</v>
      </c>
      <c r="P3" s="1">
        <v>2</v>
      </c>
      <c r="Q3" s="1">
        <v>2</v>
      </c>
      <c r="R3" s="1"/>
      <c r="S3" s="1"/>
      <c r="T3" s="1"/>
    </row>
    <row r="4" spans="1:20" x14ac:dyDescent="0.25">
      <c r="A4" s="1">
        <v>18</v>
      </c>
      <c r="B4" s="1">
        <v>2184</v>
      </c>
      <c r="C4" s="1">
        <v>384</v>
      </c>
      <c r="D4" s="1" t="s">
        <v>15</v>
      </c>
      <c r="E4" s="1" t="s">
        <v>49</v>
      </c>
      <c r="F4" s="1">
        <v>439.07</v>
      </c>
      <c r="G4" s="1">
        <v>0.26</v>
      </c>
      <c r="H4" s="2">
        <v>45457</v>
      </c>
      <c r="I4" s="4">
        <v>0.75208333333333333</v>
      </c>
      <c r="J4" s="1" t="s">
        <v>50</v>
      </c>
      <c r="K4" s="1">
        <v>23</v>
      </c>
      <c r="L4" s="1" t="s">
        <v>23</v>
      </c>
      <c r="M4" s="1" t="s">
        <v>19</v>
      </c>
      <c r="N4" s="1">
        <v>97.73</v>
      </c>
      <c r="O4" s="1">
        <v>2</v>
      </c>
      <c r="P4" s="1">
        <v>1</v>
      </c>
      <c r="Q4" s="1">
        <v>1</v>
      </c>
      <c r="R4" s="1"/>
      <c r="S4" s="1"/>
      <c r="T4" s="1"/>
    </row>
    <row r="5" spans="1:20" x14ac:dyDescent="0.25">
      <c r="A5" s="1">
        <v>5</v>
      </c>
      <c r="B5" s="1">
        <v>6734</v>
      </c>
      <c r="C5" s="1">
        <v>319</v>
      </c>
      <c r="D5" s="1" t="s">
        <v>30</v>
      </c>
      <c r="E5" s="1" t="s">
        <v>21</v>
      </c>
      <c r="F5" s="1">
        <v>155.51</v>
      </c>
      <c r="G5" s="1">
        <v>0.14000000000000001</v>
      </c>
      <c r="H5" s="2">
        <v>45461</v>
      </c>
      <c r="I5" s="4">
        <v>4.2361111111111113E-2</v>
      </c>
      <c r="J5" s="1" t="s">
        <v>31</v>
      </c>
      <c r="K5" s="1">
        <v>29</v>
      </c>
      <c r="L5" s="1" t="s">
        <v>23</v>
      </c>
      <c r="M5" s="1" t="s">
        <v>24</v>
      </c>
      <c r="N5" s="1">
        <v>34.79</v>
      </c>
      <c r="O5" s="1">
        <v>2</v>
      </c>
      <c r="P5" s="1" t="e">
        <f>Table3[[#This Row],[CustomerIncomeGroup]]/0</f>
        <v>#VALUE!</v>
      </c>
      <c r="Q5" s="1"/>
      <c r="R5" s="1"/>
      <c r="S5" s="1"/>
      <c r="T5" s="1"/>
    </row>
    <row r="6" spans="1:20" x14ac:dyDescent="0.25">
      <c r="A6" s="1">
        <v>23</v>
      </c>
      <c r="B6" s="1">
        <v>3558</v>
      </c>
      <c r="C6" s="1">
        <v>577</v>
      </c>
      <c r="D6" s="1" t="s">
        <v>25</v>
      </c>
      <c r="E6" s="1" t="s">
        <v>16</v>
      </c>
      <c r="F6" s="1">
        <v>888.2</v>
      </c>
      <c r="G6" s="1">
        <v>0.04</v>
      </c>
      <c r="H6" s="2">
        <v>45247</v>
      </c>
      <c r="I6" s="4">
        <v>0.22916666666666666</v>
      </c>
      <c r="J6" s="1" t="s">
        <v>55</v>
      </c>
      <c r="K6" s="1">
        <v>29</v>
      </c>
      <c r="L6" s="1" t="s">
        <v>23</v>
      </c>
      <c r="M6" s="1" t="s">
        <v>19</v>
      </c>
      <c r="N6" s="1">
        <v>67.510000000000005</v>
      </c>
      <c r="O6" s="1">
        <v>3</v>
      </c>
      <c r="P6" s="1">
        <v>3</v>
      </c>
      <c r="Q6" s="1">
        <v>3</v>
      </c>
      <c r="R6" s="1"/>
      <c r="S6" s="1"/>
      <c r="T6" s="1"/>
    </row>
    <row r="7" spans="1:20" x14ac:dyDescent="0.25">
      <c r="A7" s="1">
        <v>28</v>
      </c>
      <c r="B7" s="1">
        <v>3734</v>
      </c>
      <c r="C7" s="1">
        <v>231</v>
      </c>
      <c r="D7" s="1" t="s">
        <v>44</v>
      </c>
      <c r="E7" s="1" t="s">
        <v>35</v>
      </c>
      <c r="F7" s="1">
        <v>513.82000000000005</v>
      </c>
      <c r="G7" s="1">
        <v>0.05</v>
      </c>
      <c r="H7" s="2">
        <v>45508</v>
      </c>
      <c r="I7" s="4">
        <v>0.52708333333333335</v>
      </c>
      <c r="J7" s="1" t="s">
        <v>60</v>
      </c>
      <c r="K7" s="1">
        <v>34</v>
      </c>
      <c r="L7" s="1" t="s">
        <v>34</v>
      </c>
      <c r="M7" s="1" t="s">
        <v>29</v>
      </c>
      <c r="N7" s="1">
        <v>77.27</v>
      </c>
      <c r="O7" s="1">
        <v>3</v>
      </c>
      <c r="P7" s="1">
        <v>0</v>
      </c>
      <c r="Q7" s="1">
        <v>0</v>
      </c>
      <c r="R7" s="1"/>
      <c r="S7" s="1"/>
      <c r="T7" s="1"/>
    </row>
    <row r="8" spans="1:20" x14ac:dyDescent="0.25">
      <c r="A8" s="1">
        <v>14</v>
      </c>
      <c r="B8" s="1">
        <v>3433</v>
      </c>
      <c r="C8" s="1">
        <v>536</v>
      </c>
      <c r="D8" s="1" t="s">
        <v>44</v>
      </c>
      <c r="E8" s="1" t="s">
        <v>21</v>
      </c>
      <c r="F8" s="1">
        <v>559.1</v>
      </c>
      <c r="G8" s="1">
        <v>0.15</v>
      </c>
      <c r="H8" s="2">
        <v>45262</v>
      </c>
      <c r="I8" s="4">
        <v>0.32222222222222224</v>
      </c>
      <c r="J8" s="1" t="s">
        <v>45</v>
      </c>
      <c r="K8" s="1">
        <v>35</v>
      </c>
      <c r="L8" s="1" t="s">
        <v>34</v>
      </c>
      <c r="M8" s="1" t="s">
        <v>29</v>
      </c>
      <c r="N8" s="1">
        <v>69.39</v>
      </c>
      <c r="O8" s="1">
        <v>1</v>
      </c>
      <c r="P8" s="1" t="e">
        <f>Table3[[#This Row],[CustomerIncomeGroup]]/0</f>
        <v>#VALUE!</v>
      </c>
      <c r="Q8" s="1"/>
      <c r="R8" s="1"/>
      <c r="S8" s="1"/>
      <c r="T8" s="1"/>
    </row>
    <row r="9" spans="1:20" x14ac:dyDescent="0.25">
      <c r="A9" s="1">
        <v>11</v>
      </c>
      <c r="B9" s="1">
        <v>2685</v>
      </c>
      <c r="C9" s="1">
        <v>745</v>
      </c>
      <c r="D9" s="1" t="s">
        <v>15</v>
      </c>
      <c r="E9" s="1" t="s">
        <v>16</v>
      </c>
      <c r="F9" s="1">
        <v>346.31</v>
      </c>
      <c r="G9" s="1">
        <v>0.06</v>
      </c>
      <c r="H9" s="2">
        <v>45438</v>
      </c>
      <c r="I9" s="4">
        <v>0.12222222222222222</v>
      </c>
      <c r="J9" s="1" t="s">
        <v>41</v>
      </c>
      <c r="K9" s="1">
        <v>36</v>
      </c>
      <c r="L9" s="1" t="s">
        <v>23</v>
      </c>
      <c r="M9" s="1" t="s">
        <v>29</v>
      </c>
      <c r="N9" s="1">
        <v>76.819999999999993</v>
      </c>
      <c r="O9" s="1">
        <v>3</v>
      </c>
      <c r="P9" s="1" t="e">
        <f>Table3[[#This Row],[CustomerIncomeGroup]]/0</f>
        <v>#VALUE!</v>
      </c>
      <c r="Q9" s="1"/>
      <c r="R9" s="1"/>
      <c r="S9" s="1"/>
      <c r="T9" s="1"/>
    </row>
    <row r="10" spans="1:20" x14ac:dyDescent="0.25">
      <c r="A10" s="1">
        <v>9</v>
      </c>
      <c r="B10" s="1">
        <v>6578</v>
      </c>
      <c r="C10" s="1">
        <v>948</v>
      </c>
      <c r="D10" s="1" t="s">
        <v>32</v>
      </c>
      <c r="E10" s="1" t="s">
        <v>16</v>
      </c>
      <c r="F10" s="1">
        <v>202.66</v>
      </c>
      <c r="G10" s="1">
        <v>0.12</v>
      </c>
      <c r="H10" s="2">
        <v>45508</v>
      </c>
      <c r="I10" s="4">
        <v>0.71736111111111112</v>
      </c>
      <c r="J10" s="1" t="s">
        <v>39</v>
      </c>
      <c r="K10" s="1">
        <v>37</v>
      </c>
      <c r="L10" s="1" t="s">
        <v>34</v>
      </c>
      <c r="M10" s="1" t="s">
        <v>29</v>
      </c>
      <c r="N10" s="1">
        <v>28.61</v>
      </c>
      <c r="O10" s="1">
        <v>4</v>
      </c>
      <c r="P10" s="1" t="e">
        <f>Table3[[#This Row],[CustomerIncomeGroup]]/0</f>
        <v>#VALUE!</v>
      </c>
      <c r="Q10" s="1"/>
      <c r="R10" s="1"/>
      <c r="S10" s="1"/>
      <c r="T10" s="1"/>
    </row>
    <row r="11" spans="1:20" x14ac:dyDescent="0.25">
      <c r="A11" s="1">
        <v>25</v>
      </c>
      <c r="B11" s="1">
        <v>3047</v>
      </c>
      <c r="C11" s="1">
        <v>419</v>
      </c>
      <c r="D11" s="1" t="s">
        <v>30</v>
      </c>
      <c r="E11" s="1" t="s">
        <v>16</v>
      </c>
      <c r="F11" s="1">
        <v>144.08000000000001</v>
      </c>
      <c r="G11" s="1">
        <v>0.28000000000000003</v>
      </c>
      <c r="H11" s="2">
        <v>45346</v>
      </c>
      <c r="I11" s="4">
        <v>5.1388888888888887E-2</v>
      </c>
      <c r="J11" s="1" t="s">
        <v>57</v>
      </c>
      <c r="K11" s="1">
        <v>38</v>
      </c>
      <c r="L11" s="1" t="s">
        <v>34</v>
      </c>
      <c r="M11" s="1" t="s">
        <v>24</v>
      </c>
      <c r="N11" s="1">
        <v>33.4</v>
      </c>
      <c r="O11" s="1">
        <v>4</v>
      </c>
      <c r="P11" s="1">
        <v>4</v>
      </c>
      <c r="Q11" s="1">
        <v>4</v>
      </c>
      <c r="R11" s="1"/>
      <c r="S11" s="1"/>
      <c r="T11" s="1"/>
    </row>
    <row r="12" spans="1:20" x14ac:dyDescent="0.25">
      <c r="A12" s="1">
        <v>8</v>
      </c>
      <c r="B12" s="1">
        <v>5426</v>
      </c>
      <c r="C12" s="1">
        <v>574</v>
      </c>
      <c r="D12" s="1" t="s">
        <v>37</v>
      </c>
      <c r="E12" s="1" t="s">
        <v>16</v>
      </c>
      <c r="F12" s="1">
        <v>522.87</v>
      </c>
      <c r="G12" s="1">
        <v>0.28999999999999998</v>
      </c>
      <c r="H12" s="2">
        <v>45428</v>
      </c>
      <c r="I12" s="4">
        <v>7.3611111111111113E-2</v>
      </c>
      <c r="J12" s="1" t="s">
        <v>38</v>
      </c>
      <c r="K12" s="1">
        <v>45</v>
      </c>
      <c r="L12" s="1" t="s">
        <v>18</v>
      </c>
      <c r="M12" s="1" t="s">
        <v>24</v>
      </c>
      <c r="N12" s="1">
        <v>19.23</v>
      </c>
      <c r="O12" s="1">
        <v>1</v>
      </c>
      <c r="P12" s="1" t="e">
        <f>Table3[[#This Row],[CustomerIncomeGroup]]/0</f>
        <v>#VALUE!</v>
      </c>
      <c r="Q12" s="1"/>
      <c r="R12" s="1"/>
      <c r="S12" s="1"/>
      <c r="T12" s="1"/>
    </row>
    <row r="13" spans="1:20" x14ac:dyDescent="0.25">
      <c r="A13" s="1">
        <v>24</v>
      </c>
      <c r="B13" s="1">
        <v>8849</v>
      </c>
      <c r="C13" s="1">
        <v>385</v>
      </c>
      <c r="D13" s="1" t="s">
        <v>25</v>
      </c>
      <c r="E13" s="1" t="s">
        <v>21</v>
      </c>
      <c r="F13" s="1">
        <v>109.35</v>
      </c>
      <c r="G13" s="1">
        <v>0.15</v>
      </c>
      <c r="H13" s="2">
        <v>45509</v>
      </c>
      <c r="I13" s="4">
        <v>0.58819444444444446</v>
      </c>
      <c r="J13" s="1" t="s">
        <v>56</v>
      </c>
      <c r="K13" s="1">
        <v>45</v>
      </c>
      <c r="L13" s="1" t="s">
        <v>18</v>
      </c>
      <c r="M13" s="1" t="s">
        <v>24</v>
      </c>
      <c r="N13" s="1">
        <v>18.760000000000002</v>
      </c>
      <c r="O13" s="1">
        <v>4</v>
      </c>
      <c r="P13" s="1">
        <v>3</v>
      </c>
      <c r="Q13" s="1">
        <v>3</v>
      </c>
      <c r="R13" s="1"/>
      <c r="S13" s="1"/>
      <c r="T13" s="1"/>
    </row>
    <row r="14" spans="1:20" ht="105" x14ac:dyDescent="0.25">
      <c r="A14" s="1">
        <v>1</v>
      </c>
      <c r="B14" s="1">
        <v>8270</v>
      </c>
      <c r="C14" s="1">
        <v>295</v>
      </c>
      <c r="D14" s="1" t="s">
        <v>15</v>
      </c>
      <c r="E14" s="1" t="s">
        <v>16</v>
      </c>
      <c r="F14" s="1">
        <v>801.66</v>
      </c>
      <c r="G14" s="1">
        <v>0.13</v>
      </c>
      <c r="H14" s="2">
        <v>45282</v>
      </c>
      <c r="I14" s="4">
        <v>0.44097222222222221</v>
      </c>
      <c r="J14" s="1" t="s">
        <v>17</v>
      </c>
      <c r="K14" s="1">
        <v>46</v>
      </c>
      <c r="L14" s="1" t="s">
        <v>18</v>
      </c>
      <c r="M14" s="1" t="s">
        <v>19</v>
      </c>
      <c r="N14" s="1">
        <v>83.36</v>
      </c>
      <c r="O14" s="1">
        <v>1</v>
      </c>
      <c r="P14" s="1">
        <v>1</v>
      </c>
      <c r="Q14" s="3" t="s">
        <v>63</v>
      </c>
      <c r="R14" s="1"/>
      <c r="S14" s="1"/>
      <c r="T14" s="1"/>
    </row>
    <row r="15" spans="1:20" x14ac:dyDescent="0.25">
      <c r="A15" s="1">
        <v>16</v>
      </c>
      <c r="B15" s="1">
        <v>6051</v>
      </c>
      <c r="C15" s="1">
        <v>587</v>
      </c>
      <c r="D15" s="1" t="s">
        <v>25</v>
      </c>
      <c r="E15" s="1" t="s">
        <v>27</v>
      </c>
      <c r="F15" s="1">
        <v>541.5</v>
      </c>
      <c r="G15" s="1">
        <v>0.22</v>
      </c>
      <c r="H15" s="2">
        <v>45516</v>
      </c>
      <c r="I15" s="4">
        <v>0.50902777777777775</v>
      </c>
      <c r="J15" s="1" t="s">
        <v>47</v>
      </c>
      <c r="K15" s="1">
        <v>46</v>
      </c>
      <c r="L15" s="1" t="s">
        <v>23</v>
      </c>
      <c r="M15" s="1" t="s">
        <v>29</v>
      </c>
      <c r="N15" s="1">
        <v>41.77</v>
      </c>
      <c r="O15" s="1">
        <v>2</v>
      </c>
      <c r="P15" s="1" t="e">
        <f>Table3[[#This Row],[CustomerIncomeGroup]]/0</f>
        <v>#VALUE!</v>
      </c>
      <c r="Q15" s="1"/>
      <c r="R15" s="1"/>
      <c r="S15" s="1"/>
      <c r="T15" s="1"/>
    </row>
    <row r="16" spans="1:20" x14ac:dyDescent="0.25">
      <c r="A16" s="1">
        <v>20</v>
      </c>
      <c r="B16" s="1">
        <v>4385</v>
      </c>
      <c r="C16" s="1">
        <v>427</v>
      </c>
      <c r="D16" s="1" t="s">
        <v>30</v>
      </c>
      <c r="E16" s="1" t="s">
        <v>21</v>
      </c>
      <c r="F16" s="1">
        <v>886.69</v>
      </c>
      <c r="G16" s="1">
        <v>0.28000000000000003</v>
      </c>
      <c r="H16" s="2">
        <v>45431</v>
      </c>
      <c r="I16" s="4">
        <v>0.55694444444444446</v>
      </c>
      <c r="J16" s="1" t="s">
        <v>52</v>
      </c>
      <c r="K16" s="1">
        <v>46</v>
      </c>
      <c r="L16" s="1" t="s">
        <v>23</v>
      </c>
      <c r="M16" s="1" t="s">
        <v>29</v>
      </c>
      <c r="N16" s="1">
        <v>57.35</v>
      </c>
      <c r="O16" s="1">
        <v>1</v>
      </c>
      <c r="P16" s="1">
        <v>4</v>
      </c>
      <c r="Q16" s="1">
        <v>4</v>
      </c>
      <c r="R16" s="1"/>
      <c r="S16" s="1"/>
      <c r="T16" s="1"/>
    </row>
    <row r="17" spans="1:20" x14ac:dyDescent="0.25">
      <c r="A17" s="1">
        <v>19</v>
      </c>
      <c r="B17" s="1">
        <v>5555</v>
      </c>
      <c r="C17" s="1">
        <v>701</v>
      </c>
      <c r="D17" s="1" t="s">
        <v>32</v>
      </c>
      <c r="E17" s="1" t="s">
        <v>16</v>
      </c>
      <c r="F17" s="1">
        <v>849.82</v>
      </c>
      <c r="G17" s="1">
        <v>0.12</v>
      </c>
      <c r="H17" s="2">
        <v>45353</v>
      </c>
      <c r="I17" s="4">
        <v>0.22083333333333333</v>
      </c>
      <c r="J17" s="1" t="s">
        <v>51</v>
      </c>
      <c r="K17" s="1">
        <v>52</v>
      </c>
      <c r="L17" s="1" t="s">
        <v>18</v>
      </c>
      <c r="M17" s="1" t="s">
        <v>29</v>
      </c>
      <c r="N17" s="1">
        <v>54.32</v>
      </c>
      <c r="O17" s="1">
        <v>4</v>
      </c>
      <c r="P17" s="1">
        <v>6</v>
      </c>
      <c r="Q17" s="1">
        <v>6</v>
      </c>
      <c r="R17" s="1"/>
      <c r="S17" s="1"/>
      <c r="T17" s="1"/>
    </row>
    <row r="18" spans="1:20" x14ac:dyDescent="0.25">
      <c r="A18" s="1">
        <v>26</v>
      </c>
      <c r="B18" s="1">
        <v>3747</v>
      </c>
      <c r="C18" s="1">
        <v>733</v>
      </c>
      <c r="D18" s="1" t="s">
        <v>37</v>
      </c>
      <c r="E18" s="1" t="s">
        <v>27</v>
      </c>
      <c r="F18" s="1">
        <v>576.59</v>
      </c>
      <c r="G18" s="1">
        <v>0.2</v>
      </c>
      <c r="H18" s="2">
        <v>45355</v>
      </c>
      <c r="I18" s="4">
        <v>0.38750000000000001</v>
      </c>
      <c r="J18" s="1" t="s">
        <v>58</v>
      </c>
      <c r="K18" s="1">
        <v>52</v>
      </c>
      <c r="L18" s="1" t="s">
        <v>34</v>
      </c>
      <c r="M18" s="1" t="s">
        <v>29</v>
      </c>
      <c r="N18" s="1">
        <v>21.91</v>
      </c>
      <c r="O18" s="1">
        <v>4</v>
      </c>
      <c r="P18" s="1">
        <v>5</v>
      </c>
      <c r="Q18" s="1">
        <v>5</v>
      </c>
      <c r="R18" s="1"/>
      <c r="S18" s="1"/>
      <c r="T18" s="1"/>
    </row>
    <row r="19" spans="1:20" x14ac:dyDescent="0.25">
      <c r="A19" s="1">
        <v>29</v>
      </c>
      <c r="B19" s="1">
        <v>4005</v>
      </c>
      <c r="C19" s="1">
        <v>699</v>
      </c>
      <c r="D19" s="1" t="s">
        <v>37</v>
      </c>
      <c r="E19" s="1" t="s">
        <v>35</v>
      </c>
      <c r="F19" s="1">
        <v>767.89</v>
      </c>
      <c r="G19" s="1">
        <v>0.11</v>
      </c>
      <c r="H19" s="2">
        <v>45418</v>
      </c>
      <c r="I19" s="4">
        <v>6.8750000000000006E-2</v>
      </c>
      <c r="J19" s="1" t="s">
        <v>61</v>
      </c>
      <c r="K19" s="1">
        <v>52</v>
      </c>
      <c r="L19" s="1" t="s">
        <v>23</v>
      </c>
      <c r="M19" s="1" t="s">
        <v>24</v>
      </c>
      <c r="N19" s="1">
        <v>26.78</v>
      </c>
      <c r="O19" s="1">
        <v>1</v>
      </c>
      <c r="P19" s="1">
        <v>5</v>
      </c>
      <c r="Q19" s="1">
        <v>5</v>
      </c>
      <c r="R19" s="1"/>
      <c r="S19" s="1"/>
      <c r="T19" s="1"/>
    </row>
    <row r="20" spans="1:20" x14ac:dyDescent="0.25">
      <c r="A20" s="1">
        <v>22</v>
      </c>
      <c r="B20" s="1">
        <v>9666</v>
      </c>
      <c r="C20" s="1">
        <v>797</v>
      </c>
      <c r="D20" s="1" t="s">
        <v>30</v>
      </c>
      <c r="E20" s="1" t="s">
        <v>49</v>
      </c>
      <c r="F20" s="1">
        <v>6.58</v>
      </c>
      <c r="G20" s="1">
        <v>0.04</v>
      </c>
      <c r="H20" s="2">
        <v>45387</v>
      </c>
      <c r="I20" s="4">
        <v>0.86805555555555558</v>
      </c>
      <c r="J20" s="1" t="s">
        <v>54</v>
      </c>
      <c r="K20" s="1">
        <v>54</v>
      </c>
      <c r="L20" s="1" t="s">
        <v>18</v>
      </c>
      <c r="M20" s="1" t="s">
        <v>19</v>
      </c>
      <c r="N20" s="1">
        <v>88.02</v>
      </c>
      <c r="O20" s="1">
        <v>4</v>
      </c>
      <c r="P20" s="1">
        <v>4</v>
      </c>
      <c r="Q20" s="1">
        <v>4</v>
      </c>
      <c r="R20" s="1"/>
      <c r="S20" s="1"/>
      <c r="T20" s="1"/>
    </row>
    <row r="21" spans="1:20" x14ac:dyDescent="0.25">
      <c r="A21" s="1">
        <v>2</v>
      </c>
      <c r="B21" s="1">
        <v>1860</v>
      </c>
      <c r="C21" s="1">
        <v>546</v>
      </c>
      <c r="D21" s="1" t="s">
        <v>20</v>
      </c>
      <c r="E21" s="1" t="s">
        <v>21</v>
      </c>
      <c r="F21" s="1">
        <v>225.03</v>
      </c>
      <c r="G21" s="1">
        <v>0.06</v>
      </c>
      <c r="H21" s="2">
        <v>45417</v>
      </c>
      <c r="I21" s="4">
        <v>0.44444444444444442</v>
      </c>
      <c r="J21" s="1" t="s">
        <v>22</v>
      </c>
      <c r="K21" s="1">
        <v>59</v>
      </c>
      <c r="L21" s="1" t="s">
        <v>23</v>
      </c>
      <c r="M21" s="1" t="s">
        <v>24</v>
      </c>
      <c r="N21" s="1">
        <v>58.88</v>
      </c>
      <c r="O21" s="1">
        <v>1</v>
      </c>
      <c r="P21" s="1" t="e">
        <f>Table3[[#This Row],[CustomerIncomeGroup]]/0</f>
        <v>#VALUE!</v>
      </c>
      <c r="Q21" s="1"/>
      <c r="R21" s="1"/>
      <c r="S21" s="1"/>
      <c r="T21" s="1"/>
    </row>
    <row r="22" spans="1:20" x14ac:dyDescent="0.25">
      <c r="A22" s="1">
        <v>6</v>
      </c>
      <c r="B22" s="1">
        <v>7265</v>
      </c>
      <c r="C22" s="1">
        <v>282</v>
      </c>
      <c r="D22" s="1" t="s">
        <v>32</v>
      </c>
      <c r="E22" s="1" t="s">
        <v>27</v>
      </c>
      <c r="F22" s="1">
        <v>225.65</v>
      </c>
      <c r="G22" s="1">
        <v>0.18</v>
      </c>
      <c r="H22" s="2">
        <v>45357</v>
      </c>
      <c r="I22" s="4">
        <v>0.26041666666666669</v>
      </c>
      <c r="J22" s="1" t="s">
        <v>33</v>
      </c>
      <c r="K22" s="1">
        <v>60</v>
      </c>
      <c r="L22" s="1" t="s">
        <v>34</v>
      </c>
      <c r="M22" s="1" t="s">
        <v>24</v>
      </c>
      <c r="N22" s="1">
        <v>25.78</v>
      </c>
      <c r="O22" s="1">
        <v>3</v>
      </c>
      <c r="P22" s="1" t="e">
        <f>Table3[[#This Row],[CustomerIncomeGroup]]/0</f>
        <v>#VALUE!</v>
      </c>
      <c r="Q22" s="1"/>
      <c r="R22" s="1"/>
      <c r="S22" s="1"/>
      <c r="T22" s="1"/>
    </row>
    <row r="23" spans="1:20" x14ac:dyDescent="0.25">
      <c r="A23" s="1">
        <v>21</v>
      </c>
      <c r="B23" s="1">
        <v>7396</v>
      </c>
      <c r="C23" s="1">
        <v>150</v>
      </c>
      <c r="D23" s="1" t="s">
        <v>25</v>
      </c>
      <c r="E23" s="1" t="s">
        <v>35</v>
      </c>
      <c r="F23" s="1">
        <v>137.79</v>
      </c>
      <c r="G23" s="1">
        <v>0.04</v>
      </c>
      <c r="H23" s="2">
        <v>45425</v>
      </c>
      <c r="I23" s="4">
        <v>0.41944444444444445</v>
      </c>
      <c r="J23" s="1" t="s">
        <v>53</v>
      </c>
      <c r="K23" s="1">
        <v>60</v>
      </c>
      <c r="L23" s="1" t="s">
        <v>34</v>
      </c>
      <c r="M23" s="1" t="s">
        <v>19</v>
      </c>
      <c r="N23" s="1">
        <v>41.08</v>
      </c>
      <c r="O23" s="1">
        <v>2</v>
      </c>
      <c r="P23" s="1">
        <v>3</v>
      </c>
      <c r="Q23" s="1">
        <v>3</v>
      </c>
      <c r="R23" s="1"/>
      <c r="S23" s="1"/>
      <c r="T23" s="1"/>
    </row>
    <row r="24" spans="1:20" x14ac:dyDescent="0.25">
      <c r="A24" s="1">
        <v>3</v>
      </c>
      <c r="B24" s="1">
        <v>6390</v>
      </c>
      <c r="C24" s="1">
        <v>430</v>
      </c>
      <c r="D24" s="1" t="s">
        <v>25</v>
      </c>
      <c r="E24" s="1" t="s">
        <v>21</v>
      </c>
      <c r="F24" s="1">
        <v>544.99</v>
      </c>
      <c r="G24" s="1">
        <v>0.24</v>
      </c>
      <c r="H24" s="2">
        <v>45264</v>
      </c>
      <c r="I24" s="4">
        <v>0.22361111111111112</v>
      </c>
      <c r="J24" s="1" t="s">
        <v>26</v>
      </c>
      <c r="K24" s="1">
        <v>61</v>
      </c>
      <c r="L24" s="1" t="s">
        <v>18</v>
      </c>
      <c r="M24" s="1" t="s">
        <v>24</v>
      </c>
      <c r="N24" s="1">
        <v>53.99</v>
      </c>
      <c r="O24" s="1">
        <v>2</v>
      </c>
      <c r="P24" s="1" t="e">
        <f>Table3[[#This Row],[CustomerIncomeGroup]]/0</f>
        <v>#VALUE!</v>
      </c>
      <c r="Q24" s="1"/>
      <c r="R24" s="1" t="s">
        <v>64</v>
      </c>
      <c r="S24" s="1" t="s">
        <v>65</v>
      </c>
      <c r="T24" s="1">
        <v>6</v>
      </c>
    </row>
    <row r="25" spans="1:20" x14ac:dyDescent="0.25">
      <c r="A25" s="1">
        <v>12</v>
      </c>
      <c r="B25" s="1">
        <v>1769</v>
      </c>
      <c r="C25" s="1">
        <v>564</v>
      </c>
      <c r="D25" s="1" t="s">
        <v>37</v>
      </c>
      <c r="E25" s="1" t="s">
        <v>27</v>
      </c>
      <c r="F25" s="1">
        <v>434.15</v>
      </c>
      <c r="G25" s="1">
        <v>0.05</v>
      </c>
      <c r="H25" s="2">
        <v>45195</v>
      </c>
      <c r="I25" s="4">
        <v>0.22083333333333333</v>
      </c>
      <c r="J25" s="1" t="s">
        <v>42</v>
      </c>
      <c r="K25" s="1">
        <v>61</v>
      </c>
      <c r="L25" s="1" t="s">
        <v>23</v>
      </c>
      <c r="M25" s="1" t="s">
        <v>24</v>
      </c>
      <c r="N25" s="1">
        <v>26.24</v>
      </c>
      <c r="O25" s="1">
        <v>1</v>
      </c>
      <c r="P25" s="1" t="e">
        <f>Table3[[#This Row],[CustomerIncomeGroup]]/0</f>
        <v>#VALUE!</v>
      </c>
      <c r="Q25" s="1"/>
      <c r="R25" s="1"/>
      <c r="S25" s="1"/>
      <c r="T25" s="1"/>
    </row>
    <row r="26" spans="1:20" x14ac:dyDescent="0.25">
      <c r="A26" s="1">
        <v>13</v>
      </c>
      <c r="B26" s="1">
        <v>7949</v>
      </c>
      <c r="C26" s="1">
        <v>334</v>
      </c>
      <c r="D26" s="1" t="s">
        <v>30</v>
      </c>
      <c r="E26" s="1" t="s">
        <v>35</v>
      </c>
      <c r="F26" s="1">
        <v>189.87</v>
      </c>
      <c r="G26" s="1">
        <v>0.25</v>
      </c>
      <c r="H26" s="2">
        <v>45273</v>
      </c>
      <c r="I26" s="4">
        <v>0.99513888888888891</v>
      </c>
      <c r="J26" s="1" t="s">
        <v>43</v>
      </c>
      <c r="K26" s="1">
        <v>65</v>
      </c>
      <c r="L26" s="1" t="s">
        <v>23</v>
      </c>
      <c r="M26" s="1" t="s">
        <v>29</v>
      </c>
      <c r="N26" s="1">
        <v>39.909999999999997</v>
      </c>
      <c r="O26" s="1">
        <v>3</v>
      </c>
      <c r="P26" s="1" t="e">
        <f>Table3[[#This Row],[CustomerIncomeGroup]]/0</f>
        <v>#VALUE!</v>
      </c>
      <c r="Q26" s="1"/>
      <c r="R26" s="1"/>
      <c r="S26" s="1"/>
      <c r="T26" s="1"/>
    </row>
    <row r="27" spans="1:20" x14ac:dyDescent="0.25">
      <c r="A27" s="1">
        <v>27</v>
      </c>
      <c r="B27" s="1">
        <v>1189</v>
      </c>
      <c r="C27" s="1">
        <v>278</v>
      </c>
      <c r="D27" s="1" t="s">
        <v>30</v>
      </c>
      <c r="E27" s="1" t="s">
        <v>49</v>
      </c>
      <c r="F27" s="1">
        <v>954.41</v>
      </c>
      <c r="G27" s="1">
        <v>0.11</v>
      </c>
      <c r="H27" s="2">
        <v>45225</v>
      </c>
      <c r="I27" s="4">
        <v>0.3</v>
      </c>
      <c r="J27" s="1" t="s">
        <v>59</v>
      </c>
      <c r="K27" s="1">
        <v>66</v>
      </c>
      <c r="L27" s="1" t="s">
        <v>34</v>
      </c>
      <c r="M27" s="1" t="s">
        <v>29</v>
      </c>
      <c r="N27" s="1">
        <v>81.489999999999995</v>
      </c>
      <c r="O27" s="1">
        <v>3</v>
      </c>
      <c r="P27" s="1">
        <v>4</v>
      </c>
      <c r="Q27" s="1">
        <v>4</v>
      </c>
      <c r="R27" s="1"/>
      <c r="S27" s="1"/>
      <c r="T27" s="1"/>
    </row>
    <row r="28" spans="1:20" x14ac:dyDescent="0.25">
      <c r="A28" s="1">
        <v>10</v>
      </c>
      <c r="B28" s="1">
        <v>9322</v>
      </c>
      <c r="C28" s="1">
        <v>459</v>
      </c>
      <c r="D28" s="1" t="s">
        <v>25</v>
      </c>
      <c r="E28" s="1" t="s">
        <v>16</v>
      </c>
      <c r="F28" s="1">
        <v>401.52</v>
      </c>
      <c r="G28" s="1">
        <v>0.23</v>
      </c>
      <c r="H28" s="2">
        <v>45278</v>
      </c>
      <c r="I28" s="4">
        <v>0.77638888888888891</v>
      </c>
      <c r="J28" s="1" t="s">
        <v>40</v>
      </c>
      <c r="K28" s="1">
        <v>67</v>
      </c>
      <c r="L28" s="1" t="s">
        <v>18</v>
      </c>
      <c r="M28" s="1" t="s">
        <v>29</v>
      </c>
      <c r="N28" s="1">
        <v>35.18</v>
      </c>
      <c r="O28" s="1">
        <v>3</v>
      </c>
      <c r="P28" s="1" t="e">
        <f>Table3[[#This Row],[CustomerIncomeGroup]]/0</f>
        <v>#VALUE!</v>
      </c>
      <c r="Q28" s="1"/>
      <c r="R28" s="1"/>
      <c r="S28" s="1"/>
      <c r="T28" s="1"/>
    </row>
    <row r="29" spans="1:20" x14ac:dyDescent="0.25">
      <c r="A29" s="1">
        <v>30</v>
      </c>
      <c r="B29" s="1">
        <v>5658</v>
      </c>
      <c r="C29" s="1">
        <v>829</v>
      </c>
      <c r="D29" s="1" t="s">
        <v>20</v>
      </c>
      <c r="E29" s="1" t="s">
        <v>16</v>
      </c>
      <c r="F29" s="1">
        <v>653.79</v>
      </c>
      <c r="G29" s="1">
        <v>0.01</v>
      </c>
      <c r="H29" s="2">
        <v>45222</v>
      </c>
      <c r="I29" s="4">
        <v>0.48194444444444445</v>
      </c>
      <c r="J29" s="1" t="s">
        <v>62</v>
      </c>
      <c r="K29" s="1">
        <v>68</v>
      </c>
      <c r="L29" s="1" t="s">
        <v>18</v>
      </c>
      <c r="M29" s="1" t="s">
        <v>29</v>
      </c>
      <c r="N29" s="1">
        <v>39.340000000000003</v>
      </c>
      <c r="O29" s="1">
        <v>4</v>
      </c>
      <c r="P29" s="1">
        <v>2</v>
      </c>
      <c r="Q29" s="1">
        <v>2</v>
      </c>
      <c r="R29" s="1"/>
      <c r="S29" s="1"/>
      <c r="T29" s="1"/>
    </row>
    <row r="30" spans="1:20" x14ac:dyDescent="0.25">
      <c r="A30" s="1">
        <v>4</v>
      </c>
      <c r="B30" s="1">
        <v>6191</v>
      </c>
      <c r="C30" s="1">
        <v>807</v>
      </c>
      <c r="D30" s="1" t="s">
        <v>20</v>
      </c>
      <c r="E30" s="1" t="s">
        <v>27</v>
      </c>
      <c r="F30" s="1">
        <v>157.02000000000001</v>
      </c>
      <c r="G30" s="1">
        <v>0.01</v>
      </c>
      <c r="H30" s="2">
        <v>45293</v>
      </c>
      <c r="I30" s="4">
        <v>0.46597222222222223</v>
      </c>
      <c r="J30" s="1" t="s">
        <v>28</v>
      </c>
      <c r="K30" s="1">
        <v>69</v>
      </c>
      <c r="L30" s="1" t="s">
        <v>18</v>
      </c>
      <c r="M30" s="1" t="s">
        <v>29</v>
      </c>
      <c r="N30" s="1">
        <v>11.73</v>
      </c>
      <c r="O30" s="1">
        <v>2</v>
      </c>
      <c r="P30" s="1" t="e">
        <f>Table3[[#This Row],[CustomerIncomeGroup]]/0</f>
        <v>#VALUE!</v>
      </c>
      <c r="Q30" s="1"/>
      <c r="R30" s="1"/>
      <c r="S30" s="1"/>
      <c r="T30" s="1"/>
    </row>
    <row r="31" spans="1:20" x14ac:dyDescent="0.25">
      <c r="A31" s="1">
        <v>7</v>
      </c>
      <c r="B31" s="1">
        <v>1466</v>
      </c>
      <c r="C31" s="1">
        <v>276</v>
      </c>
      <c r="D31" s="1" t="s">
        <v>20</v>
      </c>
      <c r="E31" s="1" t="s">
        <v>35</v>
      </c>
      <c r="F31" s="1">
        <v>631.96</v>
      </c>
      <c r="G31" s="1">
        <v>0.09</v>
      </c>
      <c r="H31" s="2">
        <v>45214</v>
      </c>
      <c r="I31" s="4">
        <v>0.5625</v>
      </c>
      <c r="J31" s="1" t="s">
        <v>36</v>
      </c>
      <c r="K31" s="1">
        <v>69</v>
      </c>
      <c r="L31" s="1" t="s">
        <v>34</v>
      </c>
      <c r="M31" s="1" t="s">
        <v>29</v>
      </c>
      <c r="N31" s="1">
        <v>68.36</v>
      </c>
      <c r="O31" s="1">
        <v>3</v>
      </c>
      <c r="P31" s="1" t="e">
        <f>Table3[[#This Row],[CustomerIncomeGroup]]/0</f>
        <v>#VALUE!</v>
      </c>
      <c r="Q31" s="1"/>
      <c r="R31" s="1"/>
      <c r="S31" s="1"/>
      <c r="T31" s="1"/>
    </row>
    <row r="35" spans="2:11" x14ac:dyDescent="0.25">
      <c r="K35" t="s">
        <v>83</v>
      </c>
    </row>
    <row r="36" spans="2:11" x14ac:dyDescent="0.25">
      <c r="B36" t="s">
        <v>71</v>
      </c>
      <c r="C36" t="s">
        <v>72</v>
      </c>
      <c r="D36" t="s">
        <v>73</v>
      </c>
      <c r="E36" t="s">
        <v>74</v>
      </c>
      <c r="F36" t="s">
        <v>75</v>
      </c>
      <c r="G36" t="s">
        <v>82</v>
      </c>
      <c r="H36" t="s">
        <v>81</v>
      </c>
      <c r="K36">
        <f>H37</f>
        <v>84</v>
      </c>
    </row>
    <row r="37" spans="2:11" x14ac:dyDescent="0.25">
      <c r="B37" t="s">
        <v>76</v>
      </c>
      <c r="C37">
        <v>80</v>
      </c>
      <c r="D37">
        <v>79</v>
      </c>
      <c r="E37">
        <v>87</v>
      </c>
      <c r="F37">
        <v>90</v>
      </c>
      <c r="H37">
        <f>AVERAGE(Table245[[#This Row],[sem1]:[capstone]])</f>
        <v>84</v>
      </c>
      <c r="J37">
        <v>80</v>
      </c>
      <c r="K37">
        <v>83.2</v>
      </c>
    </row>
    <row r="38" spans="2:11" x14ac:dyDescent="0.25">
      <c r="B38" t="s">
        <v>77</v>
      </c>
      <c r="C38">
        <v>89</v>
      </c>
      <c r="D38">
        <v>98</v>
      </c>
      <c r="E38">
        <v>75</v>
      </c>
      <c r="F38">
        <v>95</v>
      </c>
      <c r="H38">
        <f>AVERAGE(Table245[[#This Row],[sem1]:[capstone]])</f>
        <v>89.25</v>
      </c>
      <c r="J38">
        <v>85</v>
      </c>
      <c r="K38">
        <v>84.2</v>
      </c>
    </row>
    <row r="39" spans="2:11" x14ac:dyDescent="0.25">
      <c r="B39" t="s">
        <v>78</v>
      </c>
      <c r="C39">
        <v>98</v>
      </c>
      <c r="D39">
        <v>89</v>
      </c>
      <c r="E39">
        <v>98</v>
      </c>
      <c r="F39">
        <v>89</v>
      </c>
      <c r="H39">
        <f>AVERAGE(Table245[[#This Row],[sem1]:[capstone]])</f>
        <v>93.5</v>
      </c>
      <c r="J39">
        <v>90</v>
      </c>
      <c r="K39">
        <v>85.2</v>
      </c>
    </row>
    <row r="40" spans="2:11" x14ac:dyDescent="0.25">
      <c r="B40" t="s">
        <v>79</v>
      </c>
      <c r="C40">
        <v>80</v>
      </c>
      <c r="D40">
        <v>79</v>
      </c>
      <c r="E40">
        <v>78</v>
      </c>
      <c r="F40">
        <v>79</v>
      </c>
      <c r="H40">
        <f>AVERAGE(Table245[[#This Row],[sem1]:[capstone]])</f>
        <v>79</v>
      </c>
      <c r="J40">
        <v>95</v>
      </c>
      <c r="K40">
        <v>86.2</v>
      </c>
    </row>
    <row r="41" spans="2:11" x14ac:dyDescent="0.25">
      <c r="B41" t="s">
        <v>80</v>
      </c>
      <c r="C41">
        <v>75</v>
      </c>
      <c r="D41">
        <v>85</v>
      </c>
      <c r="E41">
        <v>85</v>
      </c>
      <c r="F41">
        <v>88</v>
      </c>
      <c r="H41">
        <f>AVERAGE(Table245[[#This Row],[sem1]:[capstone]])</f>
        <v>83.25</v>
      </c>
      <c r="J41">
        <v>100</v>
      </c>
      <c r="K41">
        <v>87.2</v>
      </c>
    </row>
  </sheetData>
  <phoneticPr fontId="1" type="noConversion"/>
  <dataValidations count="3">
    <dataValidation allowBlank="1" showInputMessage="1" showErrorMessage="1" errorTitle="error" error="Error" promptTitle="between" prompt="poor" sqref="Q3" xr:uid="{9930F644-BE3F-4E4A-B99B-34F558BA79E4}"/>
    <dataValidation type="whole" operator="greaterThan" allowBlank="1" showInputMessage="1" showErrorMessage="1" sqref="P18:Q31" xr:uid="{97470357-1E60-4DE0-8291-02BB94C1EF4A}">
      <formula1>3</formula1>
    </dataValidation>
    <dataValidation type="decimal" operator="lessThan" allowBlank="1" showInputMessage="1" showErrorMessage="1" sqref="G2:G31" xr:uid="{12193922-7888-4C43-97F2-80280DB7A079}">
      <formula1>1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2026-06-08T04:09:30Z</dcterms:created>
  <dcterms:modified xsi:type="dcterms:W3CDTF">2026-06-08T07:17:36Z</dcterms:modified>
</cp:coreProperties>
</file>