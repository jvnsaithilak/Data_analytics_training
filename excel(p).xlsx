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6D6C4036-7902-4126-839E-FA34F4E2570F}" xr6:coauthVersionLast="47" xr6:coauthVersionMax="47" xr10:uidLastSave="{00000000-0000-0000-0000-000000000000}"/>
  <bookViews>
    <workbookView xWindow="-120" yWindow="-120" windowWidth="29040" windowHeight="15720" activeTab="2" xr2:uid="{D2A2E89A-C97E-4E2A-BDC2-C35BB45A0710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<sst xmlns="http://schemas.openxmlformats.org/spreadsheetml/2006/main" count="65" uniqueCount="35">
  <si>
    <t>roll_no</t>
  </si>
  <si>
    <t>marks</t>
  </si>
  <si>
    <t>min</t>
  </si>
  <si>
    <t>max</t>
  </si>
  <si>
    <t>var</t>
  </si>
  <si>
    <t>std</t>
  </si>
  <si>
    <t>mean</t>
  </si>
  <si>
    <t>median</t>
  </si>
  <si>
    <t>mode</t>
  </si>
  <si>
    <t>Column 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</si>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</sst>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333333333333E-2"/>
          <c:y val="0.16245370370370371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Sheet1!$A$1</c:f>
              <c:strCache>
                <c:ptCount val="1"/>
                <c:pt idx="0">
                  <c:v>roll_no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C-43A0-889D-1D34B4E88B8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Sheet1!$B$2:$B$13</c:f>
              <c:numCache>
                <c:formatCode>General</c:formatCode>
                <c:ptCount val="12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  <c:pt idx="5">
                  <c:v>92</c:v>
                </c:pt>
                <c:pt idx="6">
                  <c:v>93</c:v>
                </c:pt>
                <c:pt idx="7">
                  <c:v>90</c:v>
                </c:pt>
                <c:pt idx="8">
                  <c:v>95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C-43A0-889D-1D34B4E88B88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Sheet1!$C$2:$C$13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355C-43A0-889D-1D34B4E88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roll_no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F-4485-9049-0C689A0EFCAE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Sheet1!$B$2:$B$13</c:f>
              <c:numCache>
                <c:formatCode>General</c:formatCode>
                <c:ptCount val="12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  <c:pt idx="5">
                  <c:v>92</c:v>
                </c:pt>
                <c:pt idx="6">
                  <c:v>93</c:v>
                </c:pt>
                <c:pt idx="7">
                  <c:v>90</c:v>
                </c:pt>
                <c:pt idx="8">
                  <c:v>95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F-4485-9049-0C689A0EFCAE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Sheet1!$C$2:$C$13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C5BF-4485-9049-0C689A0EF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9993248"/>
        <c:axId val="1069996608"/>
        <c:axId val="0"/>
      </c:bar3DChart>
      <c:catAx>
        <c:axId val="1069993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996608"/>
        <c:crosses val="autoZero"/>
        <c:auto val="1"/>
        <c:lblAlgn val="ctr"/>
        <c:lblOffset val="100"/>
        <c:noMultiLvlLbl val="0"/>
      </c:catAx>
      <c:valAx>
        <c:axId val="106999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99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</xdr:row>
      <xdr:rowOff>4762</xdr:rowOff>
    </xdr:from>
    <xdr:to>
      <xdr:col>11</xdr:col>
      <xdr:colOff>285750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48A61B-AFB7-A727-3350-E3073A6C7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342900</xdr:colOff>
      <xdr:row>1</xdr:row>
      <xdr:rowOff>14287</xdr:rowOff>
    </xdr:from>
    <xdr:to>
      <xdr:col>19</xdr:col>
      <xdr:colOff>38100</xdr:colOff>
      <xdr:row>15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DE6638-178D-1215-B4F2-4AA1C115B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453BB-6608-4C00-98C5-082C9CAD371E}" name="Table1" displayName="Table1" ref="A1:B12" totalsRowShown="0">
  <autoFilter ref="A1:B12" xr:uid="{EAD453BB-6608-4C00-98C5-082C9CAD371E}"/>
  <tableColumns count="2">
    <tableColumn id="1" xr3:uid="{FF33F307-4299-4E7F-80D4-EA556BA48CB3}" name="roll_no"/>
    <tableColumn id="2" xr3:uid="{7FE1F4B3-45C0-432F-A8A0-6E937E8E66B2}" name="mark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6AA4-EB0C-4926-AE68-947A0ED12DFB}">
  <dimension ref="A1:B2"/>
  <sheetViews>
    <sheetView workbookViewId="0">
      <selection activeCell="N11" sqref="N11"/>
    </sheetView>
  </sheetViews>
  <sheetFormatPr defaultRowHeight="15" x14ac:dyDescent="0.25"/>
  <sheetData>
    <row r="1" spans="1:2" x14ac:dyDescent="0.25">
      <c r="A1" s="2"/>
      <c r="B1" s="2" t="s">
        <v>9</v>
      </c>
    </row>
    <row r="2" spans="1:2" ht="15.75" thickBot="1" x14ac:dyDescent="0.3">
      <c r="A2" s="1" t="s">
        <v>9</v>
      </c>
      <c r="B2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3BB4-1190-4976-9745-82C68B80D008}">
  <dimension ref="A1:I18"/>
  <sheetViews>
    <sheetView workbookViewId="0">
      <selection activeCell="L20" sqref="L20"/>
    </sheetView>
  </sheetViews>
  <sheetFormatPr defaultRowHeight="15" x14ac:dyDescent="0.25"/>
  <sheetData>
    <row r="1" spans="1:9" x14ac:dyDescent="0.25">
      <c r="A1" t="s">
        <v>10</v>
      </c>
    </row>
    <row r="2" spans="1:9" ht="15.75" thickBot="1" x14ac:dyDescent="0.3"/>
    <row r="3" spans="1:9" x14ac:dyDescent="0.25">
      <c r="A3" s="4" t="s">
        <v>11</v>
      </c>
      <c r="B3" s="4"/>
    </row>
    <row r="4" spans="1:9" x14ac:dyDescent="0.25">
      <c r="A4" s="3" t="s">
        <v>12</v>
      </c>
      <c r="B4" s="3">
        <v>0.9102231196777274</v>
      </c>
    </row>
    <row r="5" spans="1:9" x14ac:dyDescent="0.25">
      <c r="A5" s="3" t="s">
        <v>13</v>
      </c>
      <c r="B5" s="3">
        <v>0.82850612759585451</v>
      </c>
    </row>
    <row r="6" spans="1:9" x14ac:dyDescent="0.25">
      <c r="A6" s="3" t="s">
        <v>14</v>
      </c>
      <c r="B6" s="3">
        <v>0.80706939354533636</v>
      </c>
    </row>
    <row r="7" spans="1:9" x14ac:dyDescent="0.25">
      <c r="A7" s="3" t="s">
        <v>15</v>
      </c>
      <c r="B7" s="3">
        <v>1.3298611052165374</v>
      </c>
    </row>
    <row r="8" spans="1:9" ht="15.75" thickBot="1" x14ac:dyDescent="0.3">
      <c r="A8" s="1" t="s">
        <v>16</v>
      </c>
      <c r="B8" s="1">
        <v>10</v>
      </c>
    </row>
    <row r="10" spans="1:9" ht="15.75" thickBot="1" x14ac:dyDescent="0.3">
      <c r="A10" t="s">
        <v>17</v>
      </c>
    </row>
    <row r="11" spans="1:9" x14ac:dyDescent="0.25">
      <c r="A11" s="2"/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</row>
    <row r="12" spans="1:9" x14ac:dyDescent="0.25">
      <c r="A12" s="3" t="s">
        <v>18</v>
      </c>
      <c r="B12" s="3">
        <v>1</v>
      </c>
      <c r="C12" s="3">
        <v>68.351755526657996</v>
      </c>
      <c r="D12" s="3">
        <v>68.351755526657996</v>
      </c>
      <c r="E12" s="3">
        <v>38.648897058823522</v>
      </c>
      <c r="F12" s="3">
        <v>2.5472016579463898E-4</v>
      </c>
    </row>
    <row r="13" spans="1:9" x14ac:dyDescent="0.25">
      <c r="A13" s="3" t="s">
        <v>19</v>
      </c>
      <c r="B13" s="3">
        <v>8</v>
      </c>
      <c r="C13" s="3">
        <v>14.148244473342004</v>
      </c>
      <c r="D13" s="3">
        <v>1.7685305591677505</v>
      </c>
      <c r="E13" s="3"/>
      <c r="F13" s="3"/>
    </row>
    <row r="14" spans="1:9" ht="15.75" thickBot="1" x14ac:dyDescent="0.3">
      <c r="A14" s="1" t="s">
        <v>20</v>
      </c>
      <c r="B14" s="1">
        <v>9</v>
      </c>
      <c r="C14" s="1">
        <v>82.5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27</v>
      </c>
      <c r="C16" s="2" t="s">
        <v>15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</row>
    <row r="17" spans="1:9" x14ac:dyDescent="0.25">
      <c r="A17" s="3" t="s">
        <v>21</v>
      </c>
      <c r="B17" s="3">
        <v>-80.387516254876417</v>
      </c>
      <c r="C17" s="3">
        <v>13.821736383115942</v>
      </c>
      <c r="D17" s="3">
        <v>-5.8160215204997296</v>
      </c>
      <c r="E17" s="3">
        <v>3.9783712570121892E-4</v>
      </c>
      <c r="F17" s="3">
        <v>-112.26049751004366</v>
      </c>
      <c r="G17" s="3">
        <v>-48.51453499970917</v>
      </c>
      <c r="H17" s="3">
        <v>-112.26049751004366</v>
      </c>
      <c r="I17" s="3">
        <v>-48.51453499970917</v>
      </c>
    </row>
    <row r="18" spans="1:9" ht="15.75" thickBot="1" x14ac:dyDescent="0.3">
      <c r="A18" s="1" t="s">
        <v>34</v>
      </c>
      <c r="B18" s="1">
        <v>0.94278283485045467</v>
      </c>
      <c r="C18" s="1">
        <v>0.15165024433927959</v>
      </c>
      <c r="D18" s="1">
        <v>6.2168237114159419</v>
      </c>
      <c r="E18" s="1">
        <v>2.547201657946399E-4</v>
      </c>
      <c r="F18" s="1">
        <v>0.59307674429935364</v>
      </c>
      <c r="G18" s="1">
        <v>1.2924889254015557</v>
      </c>
      <c r="H18" s="1">
        <v>0.59307674429935364</v>
      </c>
      <c r="I18" s="1">
        <v>1.2924889254015557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15AC-DD1B-4F3E-8C95-88C7B174A56C}">
  <dimension ref="A1:R36"/>
  <sheetViews>
    <sheetView tabSelected="1" workbookViewId="0">
      <selection activeCell="W25" sqref="W25"/>
    </sheetView>
  </sheetViews>
  <sheetFormatPr defaultRowHeight="15" x14ac:dyDescent="0.25"/>
  <cols>
    <col min="1" max="1" width="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87</v>
      </c>
    </row>
    <row r="3" spans="1:2" x14ac:dyDescent="0.25">
      <c r="A3">
        <v>2</v>
      </c>
      <c r="B3">
        <v>88</v>
      </c>
    </row>
    <row r="4" spans="1:2" x14ac:dyDescent="0.25">
      <c r="A4">
        <v>3</v>
      </c>
      <c r="B4">
        <v>89</v>
      </c>
    </row>
    <row r="5" spans="1:2" x14ac:dyDescent="0.25">
      <c r="A5">
        <v>4</v>
      </c>
      <c r="B5">
        <v>90</v>
      </c>
    </row>
    <row r="6" spans="1:2" x14ac:dyDescent="0.25">
      <c r="A6">
        <v>5</v>
      </c>
      <c r="B6">
        <v>91</v>
      </c>
    </row>
    <row r="7" spans="1:2" x14ac:dyDescent="0.25">
      <c r="A7">
        <v>6</v>
      </c>
      <c r="B7">
        <v>92</v>
      </c>
    </row>
    <row r="8" spans="1:2" x14ac:dyDescent="0.25">
      <c r="A8">
        <v>7</v>
      </c>
      <c r="B8">
        <v>93</v>
      </c>
    </row>
    <row r="9" spans="1:2" x14ac:dyDescent="0.25">
      <c r="A9">
        <v>8</v>
      </c>
      <c r="B9">
        <v>90</v>
      </c>
    </row>
    <row r="10" spans="1:2" x14ac:dyDescent="0.25">
      <c r="A10">
        <v>9</v>
      </c>
      <c r="B10">
        <v>95</v>
      </c>
    </row>
    <row r="11" spans="1:2" x14ac:dyDescent="0.25">
      <c r="A11">
        <v>10</v>
      </c>
      <c r="B11">
        <v>96</v>
      </c>
    </row>
    <row r="14" spans="1:2" x14ac:dyDescent="0.25">
      <c r="A14" t="s">
        <v>6</v>
      </c>
      <c r="B14">
        <f>SUM(B2:B11)</f>
        <v>911</v>
      </c>
    </row>
    <row r="15" spans="1:2" x14ac:dyDescent="0.25">
      <c r="A15" t="s">
        <v>2</v>
      </c>
      <c r="B15">
        <f>MIN(B2:B11)</f>
        <v>87</v>
      </c>
    </row>
    <row r="16" spans="1:2" x14ac:dyDescent="0.25">
      <c r="A16" t="s">
        <v>3</v>
      </c>
      <c r="B16">
        <f>MAX(B2:B11)</f>
        <v>96</v>
      </c>
    </row>
    <row r="17" spans="1:15" x14ac:dyDescent="0.25">
      <c r="A17" t="s">
        <v>4</v>
      </c>
      <c r="B17">
        <f>_xlfn.VAR.S(B2:B11)</f>
        <v>8.5444444444444443</v>
      </c>
    </row>
    <row r="18" spans="1:15" x14ac:dyDescent="0.25">
      <c r="A18" t="s">
        <v>5</v>
      </c>
      <c r="B18">
        <f>_xlfn.STDEV.S(B2:B11)</f>
        <v>2.923088169119167</v>
      </c>
    </row>
    <row r="19" spans="1:15" ht="15.75" thickBot="1" x14ac:dyDescent="0.3">
      <c r="A19" t="s">
        <v>7</v>
      </c>
      <c r="B19">
        <f>MEDIAN(B2:B11)</f>
        <v>90.5</v>
      </c>
      <c r="J19" t="s">
        <v>10</v>
      </c>
    </row>
    <row r="20" spans="1:15" ht="15.75" thickBot="1" x14ac:dyDescent="0.3">
      <c r="A20" t="s">
        <v>8</v>
      </c>
      <c r="B20">
        <f>_xlfn.MODE.SNGL(B2:B11)</f>
        <v>90</v>
      </c>
      <c r="F20" s="2"/>
      <c r="G20" s="2" t="s">
        <v>9</v>
      </c>
    </row>
    <row r="21" spans="1:15" ht="15.75" thickBot="1" x14ac:dyDescent="0.3">
      <c r="F21" s="1" t="s">
        <v>9</v>
      </c>
      <c r="G21" s="1">
        <v>1</v>
      </c>
      <c r="J21" s="4" t="s">
        <v>11</v>
      </c>
      <c r="K21" s="4"/>
    </row>
    <row r="22" spans="1:15" x14ac:dyDescent="0.25">
      <c r="J22" s="3" t="s">
        <v>12</v>
      </c>
      <c r="K22" s="3">
        <v>0.9102231196777274</v>
      </c>
    </row>
    <row r="23" spans="1:15" x14ac:dyDescent="0.25">
      <c r="J23" s="3" t="s">
        <v>13</v>
      </c>
      <c r="K23" s="3">
        <v>0.82850612759585451</v>
      </c>
    </row>
    <row r="24" spans="1:15" x14ac:dyDescent="0.25">
      <c r="J24" s="3" t="s">
        <v>14</v>
      </c>
      <c r="K24" s="3">
        <v>0.80706939354533636</v>
      </c>
    </row>
    <row r="25" spans="1:15" x14ac:dyDescent="0.25">
      <c r="J25" s="3" t="s">
        <v>15</v>
      </c>
      <c r="K25" s="3">
        <v>1.3298611052165374</v>
      </c>
    </row>
    <row r="26" spans="1:15" ht="15.75" thickBot="1" x14ac:dyDescent="0.3">
      <c r="J26" s="1" t="s">
        <v>16</v>
      </c>
      <c r="K26" s="1">
        <v>10</v>
      </c>
    </row>
    <row r="28" spans="1:15" ht="15.75" thickBot="1" x14ac:dyDescent="0.3">
      <c r="J28" t="s">
        <v>17</v>
      </c>
    </row>
    <row r="29" spans="1:15" x14ac:dyDescent="0.25">
      <c r="J29" s="2"/>
      <c r="K29" s="2" t="s">
        <v>22</v>
      </c>
      <c r="L29" s="2" t="s">
        <v>23</v>
      </c>
      <c r="M29" s="2" t="s">
        <v>24</v>
      </c>
      <c r="N29" s="2" t="s">
        <v>25</v>
      </c>
      <c r="O29" s="2" t="s">
        <v>26</v>
      </c>
    </row>
    <row r="30" spans="1:15" x14ac:dyDescent="0.25">
      <c r="J30" s="3" t="s">
        <v>18</v>
      </c>
      <c r="K30" s="3">
        <v>1</v>
      </c>
      <c r="L30" s="3">
        <v>68.351755526657996</v>
      </c>
      <c r="M30" s="3">
        <v>68.351755526657996</v>
      </c>
      <c r="N30" s="3">
        <v>38.648897058823522</v>
      </c>
      <c r="O30" s="3">
        <v>2.5472016579463898E-4</v>
      </c>
    </row>
    <row r="31" spans="1:15" x14ac:dyDescent="0.25">
      <c r="J31" s="3" t="s">
        <v>19</v>
      </c>
      <c r="K31" s="3">
        <v>8</v>
      </c>
      <c r="L31" s="3">
        <v>14.148244473342004</v>
      </c>
      <c r="M31" s="3">
        <v>1.7685305591677505</v>
      </c>
      <c r="N31" s="3"/>
      <c r="O31" s="3"/>
    </row>
    <row r="32" spans="1:15" ht="15.75" thickBot="1" x14ac:dyDescent="0.3">
      <c r="J32" s="1" t="s">
        <v>20</v>
      </c>
      <c r="K32" s="1">
        <v>9</v>
      </c>
      <c r="L32" s="1">
        <v>82.5</v>
      </c>
      <c r="M32" s="1"/>
      <c r="N32" s="1"/>
      <c r="O32" s="1"/>
    </row>
    <row r="33" spans="10:18" ht="15.75" thickBot="1" x14ac:dyDescent="0.3"/>
    <row r="34" spans="10:18" x14ac:dyDescent="0.25">
      <c r="J34" s="2"/>
      <c r="K34" s="2" t="s">
        <v>27</v>
      </c>
      <c r="L34" s="2" t="s">
        <v>15</v>
      </c>
      <c r="M34" s="2" t="s">
        <v>28</v>
      </c>
      <c r="N34" s="2" t="s">
        <v>29</v>
      </c>
      <c r="O34" s="2" t="s">
        <v>30</v>
      </c>
      <c r="P34" s="2" t="s">
        <v>31</v>
      </c>
      <c r="Q34" s="2" t="s">
        <v>32</v>
      </c>
      <c r="R34" s="2" t="s">
        <v>33</v>
      </c>
    </row>
    <row r="35" spans="10:18" x14ac:dyDescent="0.25">
      <c r="J35" s="3" t="s">
        <v>21</v>
      </c>
      <c r="K35" s="3">
        <v>-80.387516254876417</v>
      </c>
      <c r="L35" s="3">
        <v>13.821736383115942</v>
      </c>
      <c r="M35" s="3">
        <v>-5.8160215204997296</v>
      </c>
      <c r="N35" s="3">
        <v>3.9783712570121892E-4</v>
      </c>
      <c r="O35" s="3">
        <v>-112.26049751004366</v>
      </c>
      <c r="P35" s="3">
        <v>-48.51453499970917</v>
      </c>
      <c r="Q35" s="3">
        <v>-112.26049751004366</v>
      </c>
      <c r="R35" s="3">
        <v>-48.51453499970917</v>
      </c>
    </row>
    <row r="36" spans="10:18" ht="15.75" thickBot="1" x14ac:dyDescent="0.3">
      <c r="J36" s="1" t="s">
        <v>34</v>
      </c>
      <c r="K36" s="1">
        <v>0.94278283485045467</v>
      </c>
      <c r="L36" s="1">
        <v>0.15165024433927959</v>
      </c>
      <c r="M36" s="1">
        <v>6.2168237114159419</v>
      </c>
      <c r="N36" s="1">
        <v>2.547201657946399E-4</v>
      </c>
      <c r="O36" s="1">
        <v>0.59307674429935364</v>
      </c>
      <c r="P36" s="1">
        <v>1.2924889254015557</v>
      </c>
      <c r="Q36" s="1">
        <v>0.59307674429935364</v>
      </c>
      <c r="R36" s="1">
        <v>1.2924889254015557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2026-05-29T03:56:23Z</dcterms:created>
  <dcterms:modified xsi:type="dcterms:W3CDTF">2026-05-29T04:07:17Z</dcterms:modified>
</cp:coreProperties>
</file>