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C660FDB8-01EF-4A05-943E-2E0E72F45D6C}" xr6:coauthVersionLast="47" xr6:coauthVersionMax="47" xr10:uidLastSave="{00000000-0000-0000-0000-000000000000}"/>
  <bookViews>
    <workbookView xWindow="-120" yWindow="-120" windowWidth="29040" windowHeight="15720" activeTab="3" xr2:uid="{DDCD56B5-2812-4360-8AA1-495EA64BA0C9}"/>
  </bookViews>
  <sheets>
    <sheet name="Sheet2" sheetId="2" r:id="rId1"/>
    <sheet name="Sheet3" sheetId="3" r:id="rId2"/>
    <sheet name="Sheet4" sheetId="4" r:id="rId3"/>
    <sheet name="Sheet1" sheetId="1" r:id="rId4"/>
  </sheet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C17" i="1"/>
  <c r="B17" i="1"/>
  <c r="C16" i="1"/>
  <c r="B16" i="1"/>
  <c r="C15" i="1"/>
  <c r="B15" i="1"/>
  <c r="C14" i="1"/>
  <c r="B14" i="1"/>
  <c r="C13" i="1"/>
  <c r="B13" i="1"/>
  <c r="C12" i="1"/>
  <c r="B12" i="1"/>
</calcChain>
</file>

<file path=xl/sharedStrings.xml><?xml version="1.0" encoding="utf-8"?>
<sst xmlns="http://schemas.openxmlformats.org/spreadsheetml/2006/main" count="102" uniqueCount="54">
  <si>
    <t>roll_no</t>
  </si>
  <si>
    <t>marks</t>
  </si>
  <si>
    <t>hours</t>
  </si>
  <si>
    <t>mean</t>
  </si>
  <si>
    <t>median</t>
  </si>
  <si>
    <t>mode</t>
  </si>
  <si>
    <t>range</t>
  </si>
  <si>
    <t>variance</t>
  </si>
  <si>
    <t>std</t>
  </si>
  <si>
    <t>correalation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</si>
  <si>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</si>
  <si>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</si>
  <si>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</si>
  <si>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</si>
  <si>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</si>
  <si>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</si>
  <si>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</si>
  <si>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</si>
  <si>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</si>
  <si>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</si>
  <si>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</si>
  <si>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</si>
  <si>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</si>
  <si>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</si>
  <si>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</si>
  <si>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</si>
  <si>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</si>
  <si>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</si>
  <si>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</si>
  <si>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</si>
  <si>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</si>
  <si>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</si>
  <si>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</si>
  <si>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</si>
  <si>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</si>
  <si>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</si>
  <si>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</si>
  <si>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</si>
  <si>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</si>
  <si>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</si>
  <si>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</si>
  <si>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</si>
  <si>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</si>
  <si>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</si>
  <si>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</si>
  <si>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</si>
  <si>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</si>
  <si>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</si>
  <si>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</si>
  <si>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</si>
  <si>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Sum of marks</t>
  </si>
  <si>
    <t>Sum of hours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</si>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</sst>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87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Sheet1!$B$19</c:f>
              <c:numCache>
                <c:formatCode>General</c:formatCode>
                <c:ptCount val="1"/>
              </c:numCache>
            </c:numRef>
          </c:cat>
          <c:val>
            <c:numRef>
              <c:f>Sheet1!$C$2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9D-463D-A27E-68E20AA0181A}"/>
            </c:ext>
          </c:extLst>
        </c:ser>
        <c:ser>
          <c:idx val="1"/>
          <c:order val="1"/>
          <c:tx>
            <c:strRef>
              <c:f>Sheet1!$B$3</c:f>
              <c:strCache>
                <c:ptCount val="1"/>
                <c:pt idx="0">
                  <c:v>98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Sheet1!$B$19</c:f>
              <c:numCache>
                <c:formatCode>General</c:formatCode>
                <c:ptCount val="1"/>
              </c:numCache>
            </c:numRef>
          </c:cat>
          <c:val>
            <c:numRef>
              <c:f>Sheet1!$C$3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9D-463D-A27E-68E20AA0181A}"/>
            </c:ext>
          </c:extLst>
        </c:ser>
        <c:ser>
          <c:idx val="2"/>
          <c:order val="2"/>
          <c:tx>
            <c:strRef>
              <c:f>Sheet1!$B$4</c:f>
              <c:strCache>
                <c:ptCount val="1"/>
                <c:pt idx="0">
                  <c:v>87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Sheet1!$B$19</c:f>
              <c:numCache>
                <c:formatCode>General</c:formatCode>
                <c:ptCount val="1"/>
              </c:numCache>
            </c:numRef>
          </c:cat>
          <c:val>
            <c:numRef>
              <c:f>Sheet1!$C$4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9D-463D-A27E-68E20AA0181A}"/>
            </c:ext>
          </c:extLst>
        </c:ser>
        <c:ser>
          <c:idx val="3"/>
          <c:order val="3"/>
          <c:tx>
            <c:strRef>
              <c:f>Sheet1!$B$5</c:f>
              <c:strCache>
                <c:ptCount val="1"/>
                <c:pt idx="0">
                  <c:v>91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Sheet1!$B$19</c:f>
              <c:numCache>
                <c:formatCode>General</c:formatCode>
                <c:ptCount val="1"/>
              </c:numCache>
            </c:numRef>
          </c:cat>
          <c:val>
            <c:numRef>
              <c:f>Sheet1!$C$5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9D-463D-A27E-68E20AA0181A}"/>
            </c:ext>
          </c:extLst>
        </c:ser>
        <c:ser>
          <c:idx val="4"/>
          <c:order val="4"/>
          <c:tx>
            <c:strRef>
              <c:f>Sheet1!$B$6</c:f>
              <c:strCache>
                <c:ptCount val="1"/>
                <c:pt idx="0">
                  <c:v>87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Sheet1!$B$19</c:f>
              <c:numCache>
                <c:formatCode>General</c:formatCode>
                <c:ptCount val="1"/>
              </c:numCache>
            </c:numRef>
          </c:cat>
          <c:val>
            <c:numRef>
              <c:f>Sheet1!$C$6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9D-463D-A27E-68E20AA0181A}"/>
            </c:ext>
          </c:extLst>
        </c:ser>
        <c:ser>
          <c:idx val="5"/>
          <c:order val="5"/>
          <c:tx>
            <c:strRef>
              <c:f>Sheet1!$B$7</c:f>
              <c:strCache>
                <c:ptCount val="1"/>
                <c:pt idx="0">
                  <c:v>85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Sheet1!$B$19</c:f>
              <c:numCache>
                <c:formatCode>General</c:formatCode>
                <c:ptCount val="1"/>
              </c:numCache>
            </c:numRef>
          </c:cat>
          <c:val>
            <c:numRef>
              <c:f>Sheet1!$C$7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9D-463D-A27E-68E20AA0181A}"/>
            </c:ext>
          </c:extLst>
        </c:ser>
        <c:ser>
          <c:idx val="6"/>
          <c:order val="6"/>
          <c:tx>
            <c:strRef>
              <c:f>Sheet1!$B$8</c:f>
              <c:strCache>
                <c:ptCount val="1"/>
                <c:pt idx="0">
                  <c:v>97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Sheet1!$B$19</c:f>
              <c:numCache>
                <c:formatCode>General</c:formatCode>
                <c:ptCount val="1"/>
              </c:numCache>
            </c:numRef>
          </c:cat>
          <c:val>
            <c:numRef>
              <c:f>Sheet1!$C$8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9D-463D-A27E-68E20AA0181A}"/>
            </c:ext>
          </c:extLst>
        </c:ser>
        <c:ser>
          <c:idx val="7"/>
          <c:order val="7"/>
          <c:tx>
            <c:strRef>
              <c:f>Sheet1!$B$9</c:f>
              <c:strCache>
                <c:ptCount val="1"/>
                <c:pt idx="0">
                  <c:v>87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Sheet1!$B$19</c:f>
              <c:numCache>
                <c:formatCode>General</c:formatCode>
                <c:ptCount val="1"/>
              </c:numCache>
            </c:numRef>
          </c:cat>
          <c:val>
            <c:numRef>
              <c:f>Sheet1!$C$9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9D-463D-A27E-68E20AA0181A}"/>
            </c:ext>
          </c:extLst>
        </c:ser>
        <c:ser>
          <c:idx val="8"/>
          <c:order val="8"/>
          <c:tx>
            <c:strRef>
              <c:f>Sheet1!$B$10</c:f>
              <c:strCache>
                <c:ptCount val="1"/>
                <c:pt idx="0">
                  <c:v>89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Sheet1!$B$19</c:f>
              <c:numCache>
                <c:formatCode>General</c:formatCode>
                <c:ptCount val="1"/>
              </c:numCache>
            </c:numRef>
          </c:cat>
          <c:val>
            <c:numRef>
              <c:f>Sheet1!$C$10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9D-463D-A27E-68E20AA01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85167167"/>
        <c:axId val="1385171487"/>
        <c:axId val="0"/>
      </c:bar3DChart>
      <c:catAx>
        <c:axId val="138516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171487"/>
        <c:crosses val="autoZero"/>
        <c:auto val="1"/>
        <c:lblAlgn val="ctr"/>
        <c:lblOffset val="100"/>
        <c:noMultiLvlLbl val="0"/>
      </c:catAx>
      <c:valAx>
        <c:axId val="138517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16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17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explosion val="93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2-306A-4F65-80B6-CEE55C449B3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explosion val="142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06A-4F65-80B6-CEE55C449B3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val>
            <c:numRef>
              <c:f>Sheet1!$A$2:$A$10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A-4F65-80B6-CEE55C449B30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val>
            <c:numRef>
              <c:f>Sheet1!$B$2:$B$10</c:f>
              <c:numCache>
                <c:formatCode>General</c:formatCode>
                <c:ptCount val="9"/>
                <c:pt idx="0">
                  <c:v>87</c:v>
                </c:pt>
                <c:pt idx="1">
                  <c:v>98</c:v>
                </c:pt>
                <c:pt idx="2">
                  <c:v>87</c:v>
                </c:pt>
                <c:pt idx="3">
                  <c:v>91</c:v>
                </c:pt>
                <c:pt idx="4">
                  <c:v>87</c:v>
                </c:pt>
                <c:pt idx="5">
                  <c:v>85</c:v>
                </c:pt>
                <c:pt idx="6">
                  <c:v>97</c:v>
                </c:pt>
                <c:pt idx="7">
                  <c:v>87</c:v>
                </c:pt>
                <c:pt idx="8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6A-4F65-80B6-CEE55C449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roll_no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val>
            <c:numRef>
              <c:f>Sheet1!$A$2:$A$10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D6-4347-87C0-6FDD40EFF4AE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val>
            <c:numRef>
              <c:f>Sheet1!$B$2:$B$10</c:f>
              <c:numCache>
                <c:formatCode>General</c:formatCode>
                <c:ptCount val="9"/>
                <c:pt idx="0">
                  <c:v>87</c:v>
                </c:pt>
                <c:pt idx="1">
                  <c:v>98</c:v>
                </c:pt>
                <c:pt idx="2">
                  <c:v>87</c:v>
                </c:pt>
                <c:pt idx="3">
                  <c:v>91</c:v>
                </c:pt>
                <c:pt idx="4">
                  <c:v>87</c:v>
                </c:pt>
                <c:pt idx="5">
                  <c:v>85</c:v>
                </c:pt>
                <c:pt idx="6">
                  <c:v>97</c:v>
                </c:pt>
                <c:pt idx="7">
                  <c:v>87</c:v>
                </c:pt>
                <c:pt idx="8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D6-4347-87C0-6FDD40EFF4AE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hours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val>
            <c:numRef>
              <c:f>Sheet1!$C$2:$C$10</c:f>
              <c:numCache>
                <c:formatCode>General</c:formatCode>
                <c:ptCount val="9"/>
                <c:pt idx="0">
                  <c:v>7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7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D6-4347-87C0-6FDD40EFF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1756655"/>
        <c:axId val="1781757135"/>
        <c:axId val="0"/>
      </c:area3DChart>
      <c:catAx>
        <c:axId val="178175665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757135"/>
        <c:crosses val="autoZero"/>
        <c:auto val="1"/>
        <c:lblAlgn val="ctr"/>
        <c:lblOffset val="100"/>
        <c:noMultiLvlLbl val="0"/>
      </c:catAx>
      <c:valAx>
        <c:axId val="1781757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1756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52387</xdr:rowOff>
    </xdr:from>
    <xdr:to>
      <xdr:col>11</xdr:col>
      <xdr:colOff>342900</xdr:colOff>
      <xdr:row>15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2D6E1-5FBB-6685-9A8D-1E03EC8B5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457200</xdr:colOff>
      <xdr:row>1</xdr:row>
      <xdr:rowOff>42862</xdr:rowOff>
    </xdr:from>
    <xdr:to>
      <xdr:col>19</xdr:col>
      <xdr:colOff>152400</xdr:colOff>
      <xdr:row>15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DDB1EE-F84F-4A5A-60E6-6D23F9847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361950</xdr:colOff>
      <xdr:row>18</xdr:row>
      <xdr:rowOff>42862</xdr:rowOff>
    </xdr:from>
    <xdr:to>
      <xdr:col>15</xdr:col>
      <xdr:colOff>57150</xdr:colOff>
      <xdr:row>32</xdr:row>
      <xdr:rowOff>90487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71CF9F-ADE2-0CC9-F268-C237D49793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TS" refreshedDate="46168.643621180556" createdVersion="8" refreshedVersion="8" minRefreshableVersion="3" recordCount="9" xr:uid="{CD9DE6DC-2B61-40D4-84E3-4E79243BEF76}">
  <cacheSource type="worksheet">
    <worksheetSource name="Table1"/>
  </cacheSource>
  <cacheFields count="3">
    <cacheField name="roll_no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marks" numFmtId="0">
      <sharedItems containsSemiMixedTypes="0" containsString="0" containsNumber="1" containsInteger="1" minValue="85" maxValue="98" count="6">
        <n v="87"/>
        <n v="98"/>
        <n v="91"/>
        <n v="85"/>
        <n v="97"/>
        <n v="89"/>
      </sharedItems>
    </cacheField>
    <cacheField name="hours" numFmtId="0">
      <sharedItems containsSemiMixedTypes="0" containsString="0" containsNumber="1" containsInteger="1" minValue="6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n v="7"/>
  </r>
  <r>
    <x v="1"/>
    <x v="1"/>
    <n v="9"/>
  </r>
  <r>
    <x v="2"/>
    <x v="0"/>
    <n v="8"/>
  </r>
  <r>
    <x v="3"/>
    <x v="2"/>
    <n v="7"/>
  </r>
  <r>
    <x v="4"/>
    <x v="0"/>
    <n v="6"/>
  </r>
  <r>
    <x v="5"/>
    <x v="3"/>
    <n v="8"/>
  </r>
  <r>
    <x v="6"/>
    <x v="4"/>
    <n v="9"/>
  </r>
  <r>
    <x v="7"/>
    <x v="0"/>
    <n v="7"/>
  </r>
  <r>
    <x v="8"/>
    <x v="5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20231-46DE-4B16-BCAC-64DB7125DED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3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>
      <items count="7">
        <item x="3"/>
        <item x="0"/>
        <item x="5"/>
        <item x="2"/>
        <item x="4"/>
        <item x="1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mark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CE8EF-03E5-4AC6-BD1C-6C4D285FE4F3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2:U32" firstHeaderRow="0" firstDataRow="1" firstDataCol="1"/>
  <pivotFields count="3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>
      <items count="7">
        <item x="3"/>
        <item x="0"/>
        <item x="5"/>
        <item x="2"/>
        <item x="4"/>
        <item x="1"/>
        <item t="default"/>
      </items>
    </pivotField>
    <pivotField dataField="1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hours" fld="2" baseField="0" baseItem="0"/>
    <dataField name="Sum of mark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D22F1D-F7AC-401A-87AB-9F5EEF4277A6}" name="Table1" displayName="Table1" ref="A1:C10" totalsRowShown="0" headerRowDxfId="1" dataDxfId="0">
  <autoFilter ref="A1:C10" xr:uid="{56D22F1D-F7AC-401A-87AB-9F5EEF4277A6}"/>
  <tableColumns count="3">
    <tableColumn id="1" xr3:uid="{932DD395-BC1B-4FD0-9DEE-BEED651C2C36}" name="roll_no" dataDxfId="4"/>
    <tableColumn id="2" xr3:uid="{A42FC48F-EF8B-449C-A7B5-BF5D90BE2CA4}" name="marks" dataDxfId="3"/>
    <tableColumn id="3" xr3:uid="{0EAD8DE8-4EA4-4906-83FD-068C3B54F7C0}" name="hours" dataDxfId="2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3260-D67B-4634-B4E5-DE6732C72128}">
  <dimension ref="A1:B17"/>
  <sheetViews>
    <sheetView workbookViewId="0">
      <selection activeCell="J30" sqref="J30"/>
    </sheetView>
  </sheetViews>
  <sheetFormatPr defaultRowHeight="15" x14ac:dyDescent="0.25"/>
  <sheetData>
    <row r="1" spans="1:2" x14ac:dyDescent="0.25">
      <c r="A1" s="5" t="s">
        <v>10</v>
      </c>
      <c r="B1" s="5"/>
    </row>
    <row r="2" spans="1:2" x14ac:dyDescent="0.25">
      <c r="A2" s="2"/>
      <c r="B2" s="2"/>
    </row>
    <row r="3" spans="1:2" x14ac:dyDescent="0.25">
      <c r="A3" s="2" t="s">
        <v>11</v>
      </c>
      <c r="B3" s="2">
        <v>89.777777777777771</v>
      </c>
    </row>
    <row r="4" spans="1:2" x14ac:dyDescent="0.25">
      <c r="A4" s="2" t="s">
        <v>12</v>
      </c>
      <c r="B4" s="2">
        <v>1.5614965913950218</v>
      </c>
    </row>
    <row r="5" spans="1:2" x14ac:dyDescent="0.25">
      <c r="A5" s="2" t="s">
        <v>13</v>
      </c>
      <c r="B5" s="2">
        <v>87</v>
      </c>
    </row>
    <row r="6" spans="1:2" x14ac:dyDescent="0.25">
      <c r="A6" s="2" t="s">
        <v>14</v>
      </c>
      <c r="B6" s="2">
        <v>87</v>
      </c>
    </row>
    <row r="7" spans="1:2" x14ac:dyDescent="0.25">
      <c r="A7" s="2" t="s">
        <v>15</v>
      </c>
      <c r="B7" s="2">
        <v>4.6844897741850655</v>
      </c>
    </row>
    <row r="8" spans="1:2" x14ac:dyDescent="0.25">
      <c r="A8" s="2" t="s">
        <v>16</v>
      </c>
      <c r="B8" s="2">
        <v>21.944444444444443</v>
      </c>
    </row>
    <row r="9" spans="1:2" x14ac:dyDescent="0.25">
      <c r="A9" s="2" t="s">
        <v>17</v>
      </c>
      <c r="B9" s="2">
        <v>-9.2128093025374724E-2</v>
      </c>
    </row>
    <row r="10" spans="1:2" x14ac:dyDescent="0.25">
      <c r="A10" s="2" t="s">
        <v>18</v>
      </c>
      <c r="B10" s="2">
        <v>1.1555582324371783</v>
      </c>
    </row>
    <row r="11" spans="1:2" x14ac:dyDescent="0.25">
      <c r="A11" s="2" t="s">
        <v>19</v>
      </c>
      <c r="B11" s="2">
        <v>13</v>
      </c>
    </row>
    <row r="12" spans="1:2" x14ac:dyDescent="0.25">
      <c r="A12" s="2" t="s">
        <v>20</v>
      </c>
      <c r="B12" s="2">
        <v>85</v>
      </c>
    </row>
    <row r="13" spans="1:2" x14ac:dyDescent="0.25">
      <c r="A13" s="2" t="s">
        <v>21</v>
      </c>
      <c r="B13" s="2">
        <v>98</v>
      </c>
    </row>
    <row r="14" spans="1:2" x14ac:dyDescent="0.25">
      <c r="A14" s="2" t="s">
        <v>22</v>
      </c>
      <c r="B14" s="2">
        <v>808</v>
      </c>
    </row>
    <row r="15" spans="1:2" x14ac:dyDescent="0.25">
      <c r="A15" s="2" t="s">
        <v>23</v>
      </c>
      <c r="B15" s="2">
        <v>9</v>
      </c>
    </row>
    <row r="16" spans="1:2" x14ac:dyDescent="0.25">
      <c r="A16" s="2" t="s">
        <v>24</v>
      </c>
      <c r="B16" s="2">
        <v>98</v>
      </c>
    </row>
    <row r="17" spans="1:2" ht="15.75" thickBot="1" x14ac:dyDescent="0.3">
      <c r="A17" s="3" t="s">
        <v>25</v>
      </c>
      <c r="B17" s="3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2E66-C07B-4F15-9EF1-123E8AAC7DAF}">
  <dimension ref="A1:I18"/>
  <sheetViews>
    <sheetView workbookViewId="0">
      <selection sqref="A1:I21"/>
    </sheetView>
  </sheetViews>
  <sheetFormatPr defaultRowHeight="15" x14ac:dyDescent="0.25"/>
  <sheetData>
    <row r="1" spans="1:9" x14ac:dyDescent="0.25">
      <c r="A1" t="s">
        <v>26</v>
      </c>
    </row>
    <row r="2" spans="1:9" ht="15.75" thickBot="1" x14ac:dyDescent="0.3"/>
    <row r="3" spans="1:9" x14ac:dyDescent="0.25">
      <c r="A3" s="5" t="s">
        <v>27</v>
      </c>
      <c r="B3" s="5"/>
    </row>
    <row r="4" spans="1:9" x14ac:dyDescent="0.25">
      <c r="A4" s="2" t="s">
        <v>28</v>
      </c>
      <c r="B4" s="2">
        <v>0.67598966361657897</v>
      </c>
    </row>
    <row r="5" spans="1:9" x14ac:dyDescent="0.25">
      <c r="A5" s="2" t="s">
        <v>29</v>
      </c>
      <c r="B5" s="2">
        <v>0.45696202531645558</v>
      </c>
    </row>
    <row r="6" spans="1:9" x14ac:dyDescent="0.25">
      <c r="A6" s="2" t="s">
        <v>30</v>
      </c>
      <c r="B6" s="2">
        <v>0.37938517179023495</v>
      </c>
    </row>
    <row r="7" spans="1:9" x14ac:dyDescent="0.25">
      <c r="A7" s="2" t="s">
        <v>12</v>
      </c>
      <c r="B7" s="2">
        <v>3.6903993847614407</v>
      </c>
    </row>
    <row r="8" spans="1:9" ht="15.75" thickBot="1" x14ac:dyDescent="0.3">
      <c r="A8" s="3" t="s">
        <v>31</v>
      </c>
      <c r="B8" s="3">
        <v>9</v>
      </c>
    </row>
    <row r="10" spans="1:9" ht="15.75" thickBot="1" x14ac:dyDescent="0.3">
      <c r="A10" t="s">
        <v>32</v>
      </c>
    </row>
    <row r="11" spans="1:9" x14ac:dyDescent="0.25">
      <c r="A11" s="4"/>
      <c r="B11" s="4" t="s">
        <v>37</v>
      </c>
      <c r="C11" s="4" t="s">
        <v>38</v>
      </c>
      <c r="D11" s="4" t="s">
        <v>39</v>
      </c>
      <c r="E11" s="4" t="s">
        <v>40</v>
      </c>
      <c r="F11" s="4" t="s">
        <v>41</v>
      </c>
    </row>
    <row r="12" spans="1:9" x14ac:dyDescent="0.25">
      <c r="A12" s="2" t="s">
        <v>33</v>
      </c>
      <c r="B12" s="2">
        <v>1</v>
      </c>
      <c r="C12" s="2">
        <v>80.2222222222222</v>
      </c>
      <c r="D12" s="2">
        <v>80.2222222222222</v>
      </c>
      <c r="E12" s="2">
        <v>5.8904428904428885</v>
      </c>
      <c r="F12" s="2">
        <v>4.5619400679616444E-2</v>
      </c>
    </row>
    <row r="13" spans="1:9" x14ac:dyDescent="0.25">
      <c r="A13" s="2" t="s">
        <v>34</v>
      </c>
      <c r="B13" s="2">
        <v>7</v>
      </c>
      <c r="C13" s="2">
        <v>95.333333333333343</v>
      </c>
      <c r="D13" s="2">
        <v>13.61904761904762</v>
      </c>
      <c r="E13" s="2"/>
      <c r="F13" s="2"/>
    </row>
    <row r="14" spans="1:9" ht="15.75" thickBot="1" x14ac:dyDescent="0.3">
      <c r="A14" s="3" t="s">
        <v>35</v>
      </c>
      <c r="B14" s="3">
        <v>8</v>
      </c>
      <c r="C14" s="3">
        <v>175.55555555555554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42</v>
      </c>
      <c r="C16" s="4" t="s">
        <v>12</v>
      </c>
      <c r="D16" s="4" t="s">
        <v>43</v>
      </c>
      <c r="E16" s="4" t="s">
        <v>44</v>
      </c>
      <c r="F16" s="4" t="s">
        <v>45</v>
      </c>
      <c r="G16" s="4" t="s">
        <v>46</v>
      </c>
      <c r="H16" s="4" t="s">
        <v>47</v>
      </c>
      <c r="I16" s="4" t="s">
        <v>48</v>
      </c>
    </row>
    <row r="17" spans="1:9" x14ac:dyDescent="0.25">
      <c r="A17" s="2" t="s">
        <v>36</v>
      </c>
      <c r="B17" s="2">
        <v>65.5</v>
      </c>
      <c r="C17" s="2">
        <v>10.078462026787461</v>
      </c>
      <c r="D17" s="2">
        <v>6.4990074701782961</v>
      </c>
      <c r="E17" s="2">
        <v>3.344454091603993E-4</v>
      </c>
      <c r="F17" s="2">
        <v>41.668224272701394</v>
      </c>
      <c r="G17" s="2">
        <v>89.331775727298606</v>
      </c>
      <c r="H17" s="2">
        <v>41.668224272701394</v>
      </c>
      <c r="I17" s="2">
        <v>89.331775727298606</v>
      </c>
    </row>
    <row r="18" spans="1:9" ht="15.75" thickBot="1" x14ac:dyDescent="0.3">
      <c r="A18" s="3" t="s">
        <v>49</v>
      </c>
      <c r="B18" s="3">
        <v>3.1666666666666665</v>
      </c>
      <c r="C18" s="3">
        <v>1.3047532151257388</v>
      </c>
      <c r="D18" s="3">
        <v>2.4270234631010243</v>
      </c>
      <c r="E18" s="3">
        <v>4.5619400679616416E-2</v>
      </c>
      <c r="F18" s="3">
        <v>8.1415571836686684E-2</v>
      </c>
      <c r="G18" s="3">
        <v>6.2519177614966459</v>
      </c>
      <c r="H18" s="3">
        <v>8.1415571836686684E-2</v>
      </c>
      <c r="I18" s="3">
        <v>6.2519177614966459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A969-91C8-4A11-97FA-708D3670D2BC}">
  <dimension ref="A3:C13"/>
  <sheetViews>
    <sheetView workbookViewId="0">
      <selection activeCell="D14" sqref="A3:D14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2.85546875" bestFit="1" customWidth="1"/>
  </cols>
  <sheetData>
    <row r="3" spans="1:3" x14ac:dyDescent="0.25">
      <c r="A3" s="7" t="s">
        <v>52</v>
      </c>
      <c r="B3" t="s">
        <v>51</v>
      </c>
      <c r="C3" t="s">
        <v>50</v>
      </c>
    </row>
    <row r="4" spans="1:3" x14ac:dyDescent="0.25">
      <c r="A4" s="8">
        <v>1</v>
      </c>
      <c r="B4" s="6">
        <v>7</v>
      </c>
      <c r="C4" s="6">
        <v>87</v>
      </c>
    </row>
    <row r="5" spans="1:3" x14ac:dyDescent="0.25">
      <c r="A5" s="8">
        <v>2</v>
      </c>
      <c r="B5" s="6">
        <v>9</v>
      </c>
      <c r="C5" s="6">
        <v>98</v>
      </c>
    </row>
    <row r="6" spans="1:3" x14ac:dyDescent="0.25">
      <c r="A6" s="8">
        <v>3</v>
      </c>
      <c r="B6" s="6">
        <v>8</v>
      </c>
      <c r="C6" s="6">
        <v>87</v>
      </c>
    </row>
    <row r="7" spans="1:3" x14ac:dyDescent="0.25">
      <c r="A7" s="8">
        <v>4</v>
      </c>
      <c r="B7" s="6">
        <v>7</v>
      </c>
      <c r="C7" s="6">
        <v>91</v>
      </c>
    </row>
    <row r="8" spans="1:3" x14ac:dyDescent="0.25">
      <c r="A8" s="8">
        <v>5</v>
      </c>
      <c r="B8" s="6">
        <v>6</v>
      </c>
      <c r="C8" s="6">
        <v>87</v>
      </c>
    </row>
    <row r="9" spans="1:3" x14ac:dyDescent="0.25">
      <c r="A9" s="8">
        <v>6</v>
      </c>
      <c r="B9" s="6">
        <v>8</v>
      </c>
      <c r="C9" s="6">
        <v>85</v>
      </c>
    </row>
    <row r="10" spans="1:3" x14ac:dyDescent="0.25">
      <c r="A10" s="8">
        <v>7</v>
      </c>
      <c r="B10" s="6">
        <v>9</v>
      </c>
      <c r="C10" s="6">
        <v>97</v>
      </c>
    </row>
    <row r="11" spans="1:3" x14ac:dyDescent="0.25">
      <c r="A11" s="8">
        <v>8</v>
      </c>
      <c r="B11" s="6">
        <v>7</v>
      </c>
      <c r="C11" s="6">
        <v>87</v>
      </c>
    </row>
    <row r="12" spans="1:3" x14ac:dyDescent="0.25">
      <c r="A12" s="8">
        <v>9</v>
      </c>
      <c r="B12" s="6">
        <v>8</v>
      </c>
      <c r="C12" s="6">
        <v>89</v>
      </c>
    </row>
    <row r="13" spans="1:3" x14ac:dyDescent="0.25">
      <c r="A13" s="8" t="s">
        <v>53</v>
      </c>
      <c r="B13" s="6">
        <v>69</v>
      </c>
      <c r="C13" s="6">
        <v>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C370C-DC3C-4DED-A78B-2CBDCC48164B}">
  <dimension ref="A1:W38"/>
  <sheetViews>
    <sheetView tabSelected="1" workbookViewId="0">
      <selection activeCell="W27" sqref="W27"/>
    </sheetView>
  </sheetViews>
  <sheetFormatPr defaultRowHeight="15" x14ac:dyDescent="0.25"/>
  <cols>
    <col min="1" max="1" width="15.5703125" customWidth="1"/>
    <col min="2" max="2" width="15.7109375" customWidth="1"/>
    <col min="3" max="3" width="17.5703125" customWidth="1"/>
    <col min="21" max="21" width="14.28515625" customWidth="1"/>
    <col min="22" max="22" width="14.42578125" customWidth="1"/>
    <col min="23" max="23" width="16.5703125" customWidth="1"/>
  </cols>
  <sheetData>
    <row r="1" spans="1:23" ht="15.75" thickBot="1" x14ac:dyDescent="0.3">
      <c r="A1" s="1" t="s">
        <v>0</v>
      </c>
      <c r="B1" s="1" t="s">
        <v>1</v>
      </c>
      <c r="C1" s="1" t="s">
        <v>2</v>
      </c>
    </row>
    <row r="2" spans="1:23" x14ac:dyDescent="0.25">
      <c r="A2" s="1">
        <v>1</v>
      </c>
      <c r="B2" s="1">
        <v>87</v>
      </c>
      <c r="C2" s="1">
        <v>7</v>
      </c>
      <c r="V2" s="5" t="s">
        <v>10</v>
      </c>
      <c r="W2" s="5"/>
    </row>
    <row r="3" spans="1:23" x14ac:dyDescent="0.25">
      <c r="A3" s="1">
        <v>2</v>
      </c>
      <c r="B3" s="1">
        <v>98</v>
      </c>
      <c r="C3" s="1">
        <v>9</v>
      </c>
      <c r="V3" s="2"/>
      <c r="W3" s="2"/>
    </row>
    <row r="4" spans="1:23" x14ac:dyDescent="0.25">
      <c r="A4" s="1">
        <v>3</v>
      </c>
      <c r="B4" s="1">
        <v>87</v>
      </c>
      <c r="C4" s="1">
        <v>8</v>
      </c>
      <c r="V4" s="2" t="s">
        <v>11</v>
      </c>
      <c r="W4" s="2">
        <v>89.777777777777771</v>
      </c>
    </row>
    <row r="5" spans="1:23" x14ac:dyDescent="0.25">
      <c r="A5" s="1">
        <v>4</v>
      </c>
      <c r="B5" s="1">
        <v>91</v>
      </c>
      <c r="C5" s="1">
        <v>7</v>
      </c>
      <c r="V5" s="2" t="s">
        <v>12</v>
      </c>
      <c r="W5" s="2">
        <v>1.5614965913950218</v>
      </c>
    </row>
    <row r="6" spans="1:23" x14ac:dyDescent="0.25">
      <c r="A6" s="1">
        <v>5</v>
      </c>
      <c r="B6" s="1">
        <v>87</v>
      </c>
      <c r="C6" s="1">
        <v>6</v>
      </c>
      <c r="V6" s="2" t="s">
        <v>13</v>
      </c>
      <c r="W6" s="2">
        <v>87</v>
      </c>
    </row>
    <row r="7" spans="1:23" x14ac:dyDescent="0.25">
      <c r="A7" s="1">
        <v>6</v>
      </c>
      <c r="B7" s="1">
        <v>85</v>
      </c>
      <c r="C7" s="1">
        <v>8</v>
      </c>
      <c r="V7" s="2" t="s">
        <v>14</v>
      </c>
      <c r="W7" s="2">
        <v>87</v>
      </c>
    </row>
    <row r="8" spans="1:23" x14ac:dyDescent="0.25">
      <c r="A8" s="1">
        <v>7</v>
      </c>
      <c r="B8" s="1">
        <v>97</v>
      </c>
      <c r="C8" s="1">
        <v>9</v>
      </c>
      <c r="V8" s="2" t="s">
        <v>15</v>
      </c>
      <c r="W8" s="2">
        <v>4.6844897741850655</v>
      </c>
    </row>
    <row r="9" spans="1:23" x14ac:dyDescent="0.25">
      <c r="A9" s="1">
        <v>8</v>
      </c>
      <c r="B9" s="1">
        <v>87</v>
      </c>
      <c r="C9" s="1">
        <v>7</v>
      </c>
      <c r="V9" s="2" t="s">
        <v>16</v>
      </c>
      <c r="W9" s="2">
        <v>21.944444444444443</v>
      </c>
    </row>
    <row r="10" spans="1:23" x14ac:dyDescent="0.25">
      <c r="A10" s="1">
        <v>9</v>
      </c>
      <c r="B10" s="1">
        <v>89</v>
      </c>
      <c r="C10" s="1">
        <v>8</v>
      </c>
      <c r="V10" s="2" t="s">
        <v>17</v>
      </c>
      <c r="W10" s="2">
        <v>-9.2128093025374724E-2</v>
      </c>
    </row>
    <row r="11" spans="1:23" x14ac:dyDescent="0.25">
      <c r="A11" s="1"/>
      <c r="B11" s="1"/>
      <c r="C11" s="1"/>
      <c r="V11" s="2" t="s">
        <v>18</v>
      </c>
      <c r="W11" s="2">
        <v>1.1555582324371783</v>
      </c>
    </row>
    <row r="12" spans="1:23" x14ac:dyDescent="0.25">
      <c r="A12" t="s">
        <v>3</v>
      </c>
      <c r="B12">
        <f>SUM(B2:B10)/COUNT(B2:B10)</f>
        <v>89.777777777777771</v>
      </c>
      <c r="C12">
        <f>SUM(C2:C10)/COUNT(C2:C10)</f>
        <v>7.666666666666667</v>
      </c>
      <c r="V12" s="2" t="s">
        <v>19</v>
      </c>
      <c r="W12" s="2">
        <v>13</v>
      </c>
    </row>
    <row r="13" spans="1:23" x14ac:dyDescent="0.25">
      <c r="A13" t="s">
        <v>4</v>
      </c>
      <c r="B13">
        <f>MEDIAN(B2:B10)</f>
        <v>87</v>
      </c>
      <c r="C13">
        <f>MEDIAN(C2:C10)</f>
        <v>8</v>
      </c>
      <c r="V13" s="2" t="s">
        <v>20</v>
      </c>
      <c r="W13" s="2">
        <v>85</v>
      </c>
    </row>
    <row r="14" spans="1:23" x14ac:dyDescent="0.25">
      <c r="A14" t="s">
        <v>5</v>
      </c>
      <c r="B14">
        <f>_xlfn.MODE.SNGL(B2:B10)</f>
        <v>87</v>
      </c>
      <c r="C14">
        <f>_xlfn.MODE.SNGL(C2:C10)</f>
        <v>7</v>
      </c>
      <c r="V14" s="2" t="s">
        <v>21</v>
      </c>
      <c r="W14" s="2">
        <v>98</v>
      </c>
    </row>
    <row r="15" spans="1:23" x14ac:dyDescent="0.25">
      <c r="A15" t="s">
        <v>6</v>
      </c>
      <c r="B15">
        <f>MAX(B2:B10)-MIN(B2:B10)</f>
        <v>13</v>
      </c>
      <c r="C15">
        <f>MAX(C2:C10)-MIN(C2:C10)</f>
        <v>3</v>
      </c>
      <c r="V15" s="2" t="s">
        <v>22</v>
      </c>
      <c r="W15" s="2">
        <v>808</v>
      </c>
    </row>
    <row r="16" spans="1:23" x14ac:dyDescent="0.25">
      <c r="A16" t="s">
        <v>7</v>
      </c>
      <c r="B16">
        <f>_xlfn.VAR.S(B2:B10)</f>
        <v>21.944444444444443</v>
      </c>
      <c r="C16">
        <f>_xlfn.VAR.S(C2:C10)</f>
        <v>1</v>
      </c>
      <c r="V16" s="2" t="s">
        <v>23</v>
      </c>
      <c r="W16" s="2">
        <v>9</v>
      </c>
    </row>
    <row r="17" spans="1:23" x14ac:dyDescent="0.25">
      <c r="A17" t="s">
        <v>8</v>
      </c>
      <c r="B17">
        <f>_xlfn.STDEV.S(B2:B10)</f>
        <v>4.6844897741850655</v>
      </c>
      <c r="C17">
        <f>_xlfn.STDEV.S(C2:C10)</f>
        <v>1</v>
      </c>
      <c r="V17" s="2" t="s">
        <v>24</v>
      </c>
      <c r="W17" s="2">
        <v>98</v>
      </c>
    </row>
    <row r="18" spans="1:23" ht="15.75" thickBot="1" x14ac:dyDescent="0.3">
      <c r="A18" t="s">
        <v>9</v>
      </c>
      <c r="B18">
        <f>CORREL(B2:B10,C2:C10)</f>
        <v>0.67598966361657908</v>
      </c>
      <c r="V18" s="3" t="s">
        <v>25</v>
      </c>
      <c r="W18" s="3">
        <v>85</v>
      </c>
    </row>
    <row r="21" spans="1:23" x14ac:dyDescent="0.25">
      <c r="B21" t="s">
        <v>26</v>
      </c>
    </row>
    <row r="22" spans="1:23" ht="15.75" thickBot="1" x14ac:dyDescent="0.3">
      <c r="S22" s="7" t="s">
        <v>52</v>
      </c>
      <c r="T22" s="7" t="s">
        <v>51</v>
      </c>
      <c r="U22" t="s">
        <v>50</v>
      </c>
    </row>
    <row r="23" spans="1:23" x14ac:dyDescent="0.25">
      <c r="B23" s="5" t="s">
        <v>27</v>
      </c>
      <c r="C23" s="5"/>
      <c r="S23" s="8">
        <v>1</v>
      </c>
      <c r="T23" s="6">
        <v>7</v>
      </c>
      <c r="U23" s="6">
        <v>87</v>
      </c>
    </row>
    <row r="24" spans="1:23" x14ac:dyDescent="0.25">
      <c r="B24" s="2" t="s">
        <v>28</v>
      </c>
      <c r="C24" s="2">
        <v>0.67598966361657897</v>
      </c>
      <c r="S24" s="8">
        <v>2</v>
      </c>
      <c r="T24" s="6">
        <v>9</v>
      </c>
      <c r="U24" s="6">
        <v>98</v>
      </c>
    </row>
    <row r="25" spans="1:23" x14ac:dyDescent="0.25">
      <c r="B25" s="2" t="s">
        <v>29</v>
      </c>
      <c r="C25" s="2">
        <v>0.45696202531645558</v>
      </c>
      <c r="S25" s="8">
        <v>3</v>
      </c>
      <c r="T25" s="6">
        <v>8</v>
      </c>
      <c r="U25" s="6">
        <v>87</v>
      </c>
    </row>
    <row r="26" spans="1:23" x14ac:dyDescent="0.25">
      <c r="B26" s="2" t="s">
        <v>30</v>
      </c>
      <c r="C26" s="2">
        <v>0.37938517179023495</v>
      </c>
      <c r="S26" s="8">
        <v>4</v>
      </c>
      <c r="T26" s="6">
        <v>7</v>
      </c>
      <c r="U26" s="6">
        <v>91</v>
      </c>
    </row>
    <row r="27" spans="1:23" x14ac:dyDescent="0.25">
      <c r="B27" s="2" t="s">
        <v>12</v>
      </c>
      <c r="C27" s="2">
        <v>3.6903993847614407</v>
      </c>
      <c r="S27" s="8">
        <v>5</v>
      </c>
      <c r="T27" s="6">
        <v>6</v>
      </c>
      <c r="U27" s="6">
        <v>87</v>
      </c>
    </row>
    <row r="28" spans="1:23" ht="15.75" thickBot="1" x14ac:dyDescent="0.3">
      <c r="B28" s="3" t="s">
        <v>31</v>
      </c>
      <c r="C28" s="3">
        <v>9</v>
      </c>
      <c r="S28" s="8">
        <v>6</v>
      </c>
      <c r="T28" s="6">
        <v>8</v>
      </c>
      <c r="U28" s="6">
        <v>85</v>
      </c>
    </row>
    <row r="29" spans="1:23" x14ac:dyDescent="0.25">
      <c r="S29" s="8">
        <v>7</v>
      </c>
      <c r="T29" s="6">
        <v>9</v>
      </c>
      <c r="U29" s="6">
        <v>97</v>
      </c>
    </row>
    <row r="30" spans="1:23" ht="15.75" thickBot="1" x14ac:dyDescent="0.3">
      <c r="B30" t="s">
        <v>32</v>
      </c>
      <c r="S30" s="8">
        <v>8</v>
      </c>
      <c r="T30" s="6">
        <v>7</v>
      </c>
      <c r="U30" s="6">
        <v>87</v>
      </c>
    </row>
    <row r="31" spans="1:23" x14ac:dyDescent="0.25">
      <c r="B31" s="4"/>
      <c r="C31" s="4" t="s">
        <v>37</v>
      </c>
      <c r="D31" s="4" t="s">
        <v>38</v>
      </c>
      <c r="E31" s="4" t="s">
        <v>39</v>
      </c>
      <c r="F31" s="4" t="s">
        <v>40</v>
      </c>
      <c r="G31" s="4" t="s">
        <v>41</v>
      </c>
      <c r="S31" s="8">
        <v>9</v>
      </c>
      <c r="T31" s="6">
        <v>8</v>
      </c>
      <c r="U31" s="6">
        <v>89</v>
      </c>
    </row>
    <row r="32" spans="1:23" x14ac:dyDescent="0.25">
      <c r="B32" s="2" t="s">
        <v>33</v>
      </c>
      <c r="C32" s="2">
        <v>1</v>
      </c>
      <c r="D32" s="2">
        <v>80.2222222222222</v>
      </c>
      <c r="E32" s="2">
        <v>80.2222222222222</v>
      </c>
      <c r="F32" s="2">
        <v>5.8904428904428885</v>
      </c>
      <c r="G32" s="2">
        <v>4.5619400679616444E-2</v>
      </c>
      <c r="S32" s="8" t="s">
        <v>53</v>
      </c>
      <c r="T32" s="6">
        <v>69</v>
      </c>
      <c r="U32" s="6">
        <v>808</v>
      </c>
    </row>
    <row r="33" spans="2:10" x14ac:dyDescent="0.25">
      <c r="B33" s="2" t="s">
        <v>34</v>
      </c>
      <c r="C33" s="2">
        <v>7</v>
      </c>
      <c r="D33" s="2">
        <v>95.333333333333343</v>
      </c>
      <c r="E33" s="2">
        <v>13.61904761904762</v>
      </c>
      <c r="F33" s="2"/>
      <c r="G33" s="2"/>
    </row>
    <row r="34" spans="2:10" ht="15.75" thickBot="1" x14ac:dyDescent="0.3">
      <c r="B34" s="3" t="s">
        <v>35</v>
      </c>
      <c r="C34" s="3">
        <v>8</v>
      </c>
      <c r="D34" s="3">
        <v>175.55555555555554</v>
      </c>
      <c r="E34" s="3"/>
      <c r="F34" s="3"/>
      <c r="G34" s="3"/>
    </row>
    <row r="35" spans="2:10" ht="15.75" thickBot="1" x14ac:dyDescent="0.3"/>
    <row r="36" spans="2:10" x14ac:dyDescent="0.25">
      <c r="B36" s="4"/>
      <c r="C36" s="4" t="s">
        <v>42</v>
      </c>
      <c r="D36" s="4" t="s">
        <v>12</v>
      </c>
      <c r="E36" s="4" t="s">
        <v>43</v>
      </c>
      <c r="F36" s="4" t="s">
        <v>44</v>
      </c>
      <c r="G36" s="4" t="s">
        <v>45</v>
      </c>
      <c r="H36" s="4" t="s">
        <v>46</v>
      </c>
      <c r="I36" s="4" t="s">
        <v>47</v>
      </c>
      <c r="J36" s="4" t="s">
        <v>48</v>
      </c>
    </row>
    <row r="37" spans="2:10" x14ac:dyDescent="0.25">
      <c r="B37" s="2" t="s">
        <v>36</v>
      </c>
      <c r="C37" s="2">
        <v>65.5</v>
      </c>
      <c r="D37" s="2">
        <v>10.078462026787461</v>
      </c>
      <c r="E37" s="2">
        <v>6.4990074701782961</v>
      </c>
      <c r="F37" s="2">
        <v>3.344454091603993E-4</v>
      </c>
      <c r="G37" s="2">
        <v>41.668224272701394</v>
      </c>
      <c r="H37" s="2">
        <v>89.331775727298606</v>
      </c>
      <c r="I37" s="2">
        <v>41.668224272701394</v>
      </c>
      <c r="J37" s="2">
        <v>89.331775727298606</v>
      </c>
    </row>
    <row r="38" spans="2:10" ht="15.75" thickBot="1" x14ac:dyDescent="0.3">
      <c r="B38" s="3" t="s">
        <v>49</v>
      </c>
      <c r="C38" s="3">
        <v>3.1666666666666665</v>
      </c>
      <c r="D38" s="3">
        <v>1.3047532151257388</v>
      </c>
      <c r="E38" s="3">
        <v>2.4270234631010243</v>
      </c>
      <c r="F38" s="3">
        <v>4.5619400679616416E-2</v>
      </c>
      <c r="G38" s="3">
        <v>8.1415571836686684E-2</v>
      </c>
      <c r="H38" s="3">
        <v>6.2519177614966459</v>
      </c>
      <c r="I38" s="3">
        <v>8.1415571836686684E-2</v>
      </c>
      <c r="J38" s="3">
        <v>6.2519177614966459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2026-05-26T09:43:21Z</dcterms:created>
  <dcterms:modified xsi:type="dcterms:W3CDTF">2026-05-26T09:58:59Z</dcterms:modified>
</cp:coreProperties>
</file>